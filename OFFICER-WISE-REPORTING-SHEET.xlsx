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SIR DATA\Live Sheets\"/>
    </mc:Choice>
  </mc:AlternateContent>
  <bookViews>
    <workbookView xWindow="0" yWindow="0" windowWidth="20490" windowHeight="7155"/>
  </bookViews>
  <sheets>
    <sheet name="Timeline Sheet" sheetId="3" r:id="rId1"/>
  </sheets>
  <definedNames>
    <definedName name="_xlnm._FilterDatabase" localSheetId="0" hidden="1">'Timeline Sheet'!$A$1:$O$1</definedName>
    <definedName name="_xlnm.Print_Area" localSheetId="0">'Timeline Sheet'!$A$1:$P$299</definedName>
    <definedName name="_xlnm.Print_Titles" localSheetId="0">'Timeline Sheet'!$1:$1</definedName>
  </definedNames>
  <calcPr calcId="152511"/>
</workbook>
</file>

<file path=xl/calcChain.xml><?xml version="1.0" encoding="utf-8"?>
<calcChain xmlns="http://schemas.openxmlformats.org/spreadsheetml/2006/main">
  <c r="L298" i="3" l="1"/>
  <c r="J226" i="3" l="1"/>
  <c r="K226" i="3" s="1"/>
  <c r="J207" i="3"/>
  <c r="K207" i="3" s="1"/>
  <c r="J232" i="3"/>
  <c r="K232" i="3" s="1"/>
  <c r="J227" i="3"/>
  <c r="K227" i="3" s="1"/>
  <c r="J204" i="3"/>
  <c r="K204" i="3" s="1"/>
  <c r="J181" i="3"/>
  <c r="K181" i="3" s="1"/>
  <c r="J174" i="3"/>
  <c r="K174" i="3" s="1"/>
  <c r="J210" i="3"/>
  <c r="K210" i="3" s="1"/>
  <c r="J223" i="3"/>
  <c r="K223" i="3" s="1"/>
  <c r="J157" i="3"/>
  <c r="K157" i="3" s="1"/>
  <c r="J230" i="3"/>
  <c r="K230" i="3" s="1"/>
  <c r="J224" i="3"/>
  <c r="K224" i="3" s="1"/>
  <c r="J176" i="3"/>
  <c r="K176" i="3" s="1"/>
  <c r="J193" i="3"/>
  <c r="K193" i="3" s="1"/>
  <c r="J231" i="3"/>
  <c r="K231" i="3" s="1"/>
  <c r="J219" i="3"/>
  <c r="K219" i="3" s="1"/>
  <c r="J186" i="3"/>
  <c r="K186" i="3" s="1"/>
  <c r="J188" i="3"/>
  <c r="K188" i="3" s="1"/>
  <c r="J209" i="3"/>
  <c r="K209" i="3" s="1"/>
  <c r="J212" i="3"/>
  <c r="K212" i="3" s="1"/>
  <c r="J187" i="3"/>
  <c r="K187" i="3" s="1"/>
  <c r="J214" i="3"/>
  <c r="K214" i="3" s="1"/>
  <c r="J133" i="3"/>
  <c r="K133" i="3" s="1"/>
  <c r="J132" i="3"/>
  <c r="K132" i="3" s="1"/>
  <c r="J155" i="3"/>
  <c r="K155" i="3" s="1"/>
  <c r="J136" i="3"/>
  <c r="K136" i="3" s="1"/>
  <c r="J134" i="3"/>
  <c r="K134" i="3" s="1"/>
  <c r="J124" i="3"/>
  <c r="K124" i="3" s="1"/>
  <c r="J123" i="3"/>
  <c r="K123" i="3" s="1"/>
  <c r="J149" i="3"/>
  <c r="K149" i="3" s="1"/>
  <c r="J126" i="3"/>
  <c r="K126" i="3" s="1"/>
  <c r="J143" i="3"/>
  <c r="K143" i="3" s="1"/>
  <c r="J130" i="3"/>
  <c r="K130" i="3" s="1"/>
  <c r="J128" i="3"/>
  <c r="K128" i="3" s="1"/>
  <c r="J137" i="3"/>
  <c r="K137" i="3" s="1"/>
  <c r="J165" i="3"/>
  <c r="K165" i="3" s="1"/>
  <c r="J148" i="3"/>
  <c r="K148" i="3" s="1"/>
  <c r="J153" i="3"/>
  <c r="K153" i="3" s="1"/>
  <c r="J129" i="3"/>
  <c r="K129" i="3" s="1"/>
  <c r="J161" i="3"/>
  <c r="K161" i="3" s="1"/>
  <c r="J125" i="3"/>
  <c r="K125" i="3" s="1"/>
  <c r="J145" i="3"/>
  <c r="K145" i="3" s="1"/>
  <c r="J152" i="3"/>
  <c r="K152" i="3" s="1"/>
  <c r="J151" i="3"/>
  <c r="K151" i="3" s="1"/>
  <c r="J169" i="3"/>
  <c r="K169" i="3" s="1"/>
  <c r="J141" i="3"/>
  <c r="K141" i="3" s="1"/>
  <c r="J164" i="3"/>
  <c r="K164" i="3" s="1"/>
  <c r="J127" i="3"/>
  <c r="K127" i="3" s="1"/>
  <c r="J135" i="3"/>
  <c r="K135" i="3" s="1"/>
  <c r="J146" i="3"/>
  <c r="K146" i="3" s="1"/>
  <c r="J140" i="3"/>
  <c r="K140" i="3" s="1"/>
  <c r="J138" i="3"/>
  <c r="K138" i="3" s="1"/>
  <c r="J147" i="3"/>
  <c r="K147" i="3" s="1"/>
  <c r="J142" i="3"/>
  <c r="K142" i="3" s="1"/>
  <c r="J154" i="3"/>
  <c r="K154" i="3" s="1"/>
  <c r="J203" i="3"/>
  <c r="K203" i="3" s="1"/>
  <c r="J215" i="3"/>
  <c r="K215" i="3" s="1"/>
  <c r="J200" i="3"/>
  <c r="K200" i="3" s="1"/>
  <c r="J183" i="3"/>
  <c r="K183" i="3" s="1"/>
  <c r="J220" i="3"/>
  <c r="K220" i="3" s="1"/>
  <c r="J77" i="3"/>
  <c r="K77" i="3" s="1"/>
  <c r="J71" i="3"/>
  <c r="K71" i="3" s="1"/>
  <c r="J178" i="3"/>
  <c r="K178" i="3" s="1"/>
  <c r="J234" i="3"/>
  <c r="K234" i="3" s="1"/>
  <c r="J228" i="3"/>
  <c r="K228" i="3" s="1"/>
  <c r="J236" i="3"/>
  <c r="K236" i="3" s="1"/>
  <c r="J217" i="3"/>
  <c r="K217" i="3" s="1"/>
  <c r="J233" i="3"/>
  <c r="K233" i="3" s="1"/>
  <c r="J225" i="3"/>
  <c r="K225" i="3" s="1"/>
  <c r="J180" i="3"/>
  <c r="K180" i="3" s="1"/>
  <c r="J208" i="3"/>
  <c r="K208" i="3" s="1"/>
  <c r="J213" i="3"/>
  <c r="K213" i="3" s="1"/>
  <c r="J197" i="3"/>
  <c r="K197" i="3" s="1"/>
  <c r="J79" i="3"/>
  <c r="K79" i="3" s="1"/>
  <c r="J91" i="3"/>
  <c r="K91" i="3" s="1"/>
  <c r="J88" i="3"/>
  <c r="K88" i="3" s="1"/>
  <c r="J216" i="3"/>
  <c r="K216" i="3" s="1"/>
  <c r="J205" i="3"/>
  <c r="K205" i="3" s="1"/>
  <c r="J235" i="3"/>
  <c r="K235" i="3" s="1"/>
  <c r="J198" i="3"/>
  <c r="K198" i="3" s="1"/>
  <c r="J211" i="3"/>
  <c r="K211" i="3" s="1"/>
  <c r="J160" i="3"/>
  <c r="K160" i="3" s="1"/>
  <c r="J162" i="3"/>
  <c r="K162" i="3" s="1"/>
  <c r="J168" i="3"/>
  <c r="K168" i="3" s="1"/>
  <c r="J163" i="3"/>
  <c r="K163" i="3" s="1"/>
  <c r="J158" i="3"/>
  <c r="K158" i="3" s="1"/>
  <c r="J171" i="3"/>
  <c r="K171" i="3" s="1"/>
  <c r="J144" i="3"/>
  <c r="K144" i="3" s="1"/>
  <c r="J156" i="3"/>
  <c r="K156" i="3" s="1"/>
  <c r="J166" i="3"/>
  <c r="K166" i="3" s="1"/>
  <c r="J131" i="3"/>
  <c r="K131" i="3" s="1"/>
  <c r="J167" i="3"/>
  <c r="K167" i="3" s="1"/>
  <c r="J139" i="3"/>
  <c r="K139" i="3" s="1"/>
  <c r="J150" i="3"/>
  <c r="K150" i="3" s="1"/>
  <c r="J97" i="3"/>
  <c r="K97" i="3" s="1"/>
  <c r="J106" i="3"/>
  <c r="K106" i="3" s="1"/>
  <c r="J114" i="3"/>
  <c r="K114" i="3" s="1"/>
  <c r="J107" i="3"/>
  <c r="K107" i="3" s="1"/>
  <c r="J98" i="3"/>
  <c r="K98" i="3" s="1"/>
  <c r="J99" i="3"/>
  <c r="K99" i="3" s="1"/>
  <c r="J105" i="3"/>
  <c r="K105" i="3" s="1"/>
  <c r="J109" i="3"/>
  <c r="K109" i="3" s="1"/>
  <c r="J112" i="3"/>
  <c r="K112" i="3" s="1"/>
  <c r="J113" i="3"/>
  <c r="K113" i="3" s="1"/>
  <c r="J118" i="3"/>
  <c r="K118" i="3" s="1"/>
  <c r="J108" i="3"/>
  <c r="K108" i="3" s="1"/>
  <c r="J111" i="3"/>
  <c r="K111" i="3" s="1"/>
  <c r="J122" i="3"/>
  <c r="K122" i="3" s="1"/>
  <c r="J121" i="3"/>
  <c r="K121" i="3" s="1"/>
  <c r="J117" i="3"/>
  <c r="K117" i="3" s="1"/>
  <c r="J100" i="3"/>
  <c r="K100" i="3" s="1"/>
  <c r="J104" i="3"/>
  <c r="K104" i="3" s="1"/>
  <c r="J103" i="3"/>
  <c r="K103" i="3" s="1"/>
  <c r="J119" i="3"/>
  <c r="K119" i="3" s="1"/>
  <c r="J120" i="3"/>
  <c r="K120" i="3" s="1"/>
  <c r="J110" i="3"/>
  <c r="K110" i="3" s="1"/>
  <c r="J116" i="3"/>
  <c r="K116" i="3" s="1"/>
  <c r="J115" i="3"/>
  <c r="K115" i="3" s="1"/>
  <c r="J6" i="3"/>
  <c r="K6" i="3" s="1"/>
  <c r="J5" i="3"/>
  <c r="K5" i="3" s="1"/>
  <c r="J15" i="3"/>
  <c r="K15" i="3" s="1"/>
  <c r="J4" i="3"/>
  <c r="K4" i="3" s="1"/>
  <c r="J7" i="3"/>
  <c r="K7" i="3" s="1"/>
  <c r="J16" i="3"/>
  <c r="K16" i="3" s="1"/>
  <c r="J10" i="3"/>
  <c r="K10" i="3" s="1"/>
  <c r="J101" i="3"/>
  <c r="K101" i="3" s="1"/>
  <c r="J102" i="3"/>
  <c r="K102" i="3" s="1"/>
  <c r="J11" i="3"/>
  <c r="K11" i="3" s="1"/>
  <c r="J22" i="3"/>
  <c r="K22" i="3" s="1"/>
  <c r="J23" i="3"/>
  <c r="K23" i="3" s="1"/>
  <c r="J19" i="3"/>
  <c r="K19" i="3" s="1"/>
  <c r="J21" i="3"/>
  <c r="K21" i="3" s="1"/>
  <c r="J20" i="3"/>
  <c r="K20" i="3" s="1"/>
  <c r="J24" i="3"/>
  <c r="K24" i="3" s="1"/>
  <c r="J8" i="3"/>
  <c r="K8" i="3" s="1"/>
  <c r="J2" i="3"/>
  <c r="K2" i="3" s="1"/>
  <c r="J14" i="3"/>
  <c r="K14" i="3" s="1"/>
  <c r="J17" i="3"/>
  <c r="K17" i="3" s="1"/>
  <c r="J18" i="3"/>
  <c r="K18" i="3" s="1"/>
  <c r="J12" i="3"/>
  <c r="K12" i="3" s="1"/>
  <c r="J9" i="3"/>
  <c r="K9" i="3" s="1"/>
  <c r="J244" i="3"/>
  <c r="K244" i="3" s="1"/>
  <c r="J250" i="3"/>
  <c r="K250" i="3" s="1"/>
  <c r="J13" i="3"/>
  <c r="K13" i="3" s="1"/>
  <c r="J3" i="3"/>
  <c r="K3" i="3" s="1"/>
  <c r="J245" i="3"/>
  <c r="K245" i="3" s="1"/>
  <c r="J243" i="3"/>
  <c r="K243" i="3" s="1"/>
  <c r="J247" i="3"/>
  <c r="K247" i="3" s="1"/>
  <c r="J270" i="3"/>
  <c r="K270" i="3" s="1"/>
  <c r="J256" i="3"/>
  <c r="K256" i="3" s="1"/>
  <c r="J252" i="3"/>
  <c r="K252" i="3" s="1"/>
  <c r="J242" i="3"/>
  <c r="K242" i="3" s="1"/>
  <c r="J170" i="3"/>
  <c r="K170" i="3" s="1"/>
  <c r="J159" i="3"/>
  <c r="K159" i="3" s="1"/>
  <c r="J189" i="3"/>
  <c r="K189" i="3" s="1"/>
  <c r="J179" i="3"/>
  <c r="K179" i="3" s="1"/>
  <c r="J182" i="3"/>
  <c r="K182" i="3" s="1"/>
  <c r="J175" i="3"/>
  <c r="K175" i="3" s="1"/>
  <c r="J177" i="3"/>
  <c r="K177" i="3" s="1"/>
  <c r="J173" i="3"/>
  <c r="K173" i="3" s="1"/>
  <c r="J185" i="3"/>
  <c r="K185" i="3" s="1"/>
  <c r="J221" i="3"/>
  <c r="K221" i="3" s="1"/>
  <c r="J201" i="3"/>
  <c r="K201" i="3" s="1"/>
  <c r="J192" i="3"/>
  <c r="K192" i="3" s="1"/>
  <c r="J65" i="3"/>
  <c r="K65" i="3" s="1"/>
  <c r="J69" i="3"/>
  <c r="K69" i="3" s="1"/>
  <c r="J94" i="3"/>
  <c r="K94" i="3" s="1"/>
  <c r="J195" i="3"/>
  <c r="K195" i="3" s="1"/>
  <c r="J86" i="3"/>
  <c r="K86" i="3" s="1"/>
  <c r="J96" i="3"/>
  <c r="K96" i="3" s="1"/>
  <c r="J84" i="3"/>
  <c r="K84" i="3" s="1"/>
  <c r="J92" i="3"/>
  <c r="K92" i="3" s="1"/>
  <c r="J83" i="3"/>
  <c r="K83" i="3" s="1"/>
  <c r="J87" i="3"/>
  <c r="K87" i="3" s="1"/>
  <c r="J80" i="3"/>
  <c r="K80" i="3" s="1"/>
  <c r="J78" i="3"/>
  <c r="K78" i="3" s="1"/>
  <c r="J90" i="3"/>
  <c r="K90" i="3" s="1"/>
  <c r="J81" i="3"/>
  <c r="K81" i="3" s="1"/>
  <c r="J238" i="3"/>
  <c r="K238" i="3" s="1"/>
  <c r="J229" i="3"/>
  <c r="K229" i="3" s="1"/>
  <c r="J239" i="3"/>
  <c r="K239" i="3" s="1"/>
  <c r="J222" i="3"/>
  <c r="K222" i="3" s="1"/>
  <c r="J237" i="3"/>
  <c r="K237" i="3" s="1"/>
  <c r="J218" i="3"/>
  <c r="K218" i="3" s="1"/>
  <c r="J172" i="3"/>
  <c r="K172" i="3" s="1"/>
  <c r="J206" i="3"/>
  <c r="K206" i="3" s="1"/>
  <c r="J95" i="3"/>
  <c r="K95" i="3" s="1"/>
  <c r="J76" i="3"/>
  <c r="K76" i="3" s="1"/>
  <c r="J73" i="3"/>
  <c r="K73" i="3" s="1"/>
  <c r="J93" i="3"/>
  <c r="K93" i="3" s="1"/>
  <c r="J74" i="3"/>
  <c r="K74" i="3" s="1"/>
  <c r="J82" i="3"/>
  <c r="K82" i="3" s="1"/>
  <c r="J85" i="3"/>
  <c r="K85" i="3" s="1"/>
  <c r="J70" i="3"/>
  <c r="K70" i="3" s="1"/>
  <c r="J89" i="3"/>
  <c r="K89" i="3" s="1"/>
  <c r="J75" i="3"/>
  <c r="K75" i="3" s="1"/>
  <c r="J67" i="3"/>
  <c r="K67" i="3" s="1"/>
  <c r="J72" i="3"/>
  <c r="K72" i="3" s="1"/>
  <c r="J68" i="3"/>
  <c r="K68" i="3" s="1"/>
  <c r="J66" i="3"/>
  <c r="K66" i="3" s="1"/>
  <c r="J291" i="3"/>
  <c r="K291" i="3" s="1"/>
  <c r="J294" i="3"/>
  <c r="K294" i="3" s="1"/>
  <c r="J290" i="3"/>
  <c r="K290" i="3" s="1"/>
  <c r="J194" i="3"/>
  <c r="K194" i="3" s="1"/>
  <c r="J196" i="3"/>
  <c r="K196" i="3" s="1"/>
  <c r="J191" i="3"/>
  <c r="K191" i="3" s="1"/>
  <c r="J184" i="3"/>
  <c r="K184" i="3" s="1"/>
  <c r="J202" i="3"/>
  <c r="K202" i="3" s="1"/>
  <c r="J190" i="3"/>
  <c r="K190" i="3" s="1"/>
  <c r="J262" i="3"/>
  <c r="K262" i="3" s="1"/>
  <c r="J253" i="3"/>
  <c r="K253" i="3" s="1"/>
  <c r="J241" i="3"/>
  <c r="K241" i="3" s="1"/>
  <c r="J268" i="3"/>
  <c r="K268" i="3" s="1"/>
  <c r="J259" i="3"/>
  <c r="K259" i="3" s="1"/>
  <c r="J272" i="3"/>
  <c r="K272" i="3" s="1"/>
  <c r="J261" i="3"/>
  <c r="K261" i="3" s="1"/>
  <c r="J277" i="3"/>
  <c r="K277" i="3" s="1"/>
  <c r="J45" i="3"/>
  <c r="K45" i="3" s="1"/>
  <c r="J46" i="3"/>
  <c r="K46" i="3" s="1"/>
  <c r="J57" i="3"/>
  <c r="K57" i="3" s="1"/>
  <c r="J55" i="3"/>
  <c r="K55" i="3" s="1"/>
  <c r="J56" i="3"/>
  <c r="K56" i="3" s="1"/>
  <c r="J52" i="3"/>
  <c r="K52" i="3" s="1"/>
  <c r="J58" i="3"/>
  <c r="K58" i="3" s="1"/>
  <c r="J50" i="3"/>
  <c r="K50" i="3" s="1"/>
  <c r="J51" i="3"/>
  <c r="K51" i="3" s="1"/>
  <c r="J59" i="3"/>
  <c r="K59" i="3" s="1"/>
  <c r="J263" i="3"/>
  <c r="K263" i="3" s="1"/>
  <c r="J260" i="3"/>
  <c r="K260" i="3" s="1"/>
  <c r="J265" i="3"/>
  <c r="K265" i="3" s="1"/>
  <c r="J62" i="3"/>
  <c r="K62" i="3" s="1"/>
  <c r="J60" i="3"/>
  <c r="K60" i="3" s="1"/>
  <c r="J54" i="3"/>
  <c r="K54" i="3" s="1"/>
  <c r="J64" i="3"/>
  <c r="K64" i="3" s="1"/>
  <c r="J48" i="3"/>
  <c r="K48" i="3" s="1"/>
  <c r="J53" i="3"/>
  <c r="K53" i="3" s="1"/>
  <c r="J49" i="3"/>
  <c r="K49" i="3" s="1"/>
  <c r="J267" i="3"/>
  <c r="K267" i="3" s="1"/>
  <c r="J276" i="3"/>
  <c r="K276" i="3" s="1"/>
  <c r="J258" i="3"/>
  <c r="K258" i="3" s="1"/>
  <c r="J271" i="3"/>
  <c r="K271" i="3" s="1"/>
  <c r="J273" i="3"/>
  <c r="K273" i="3" s="1"/>
  <c r="J275" i="3"/>
  <c r="K275" i="3" s="1"/>
  <c r="J251" i="3"/>
  <c r="K251" i="3" s="1"/>
  <c r="J255" i="3"/>
  <c r="K255" i="3" s="1"/>
  <c r="J278" i="3"/>
  <c r="K278" i="3" s="1"/>
  <c r="J285" i="3"/>
  <c r="K285" i="3" s="1"/>
  <c r="J281" i="3"/>
  <c r="K281" i="3" s="1"/>
  <c r="J283" i="3"/>
  <c r="K283" i="3" s="1"/>
  <c r="J279" i="3"/>
  <c r="K279" i="3" s="1"/>
  <c r="J274" i="3"/>
  <c r="K274" i="3" s="1"/>
  <c r="J264" i="3"/>
  <c r="K264" i="3" s="1"/>
  <c r="J269" i="3"/>
  <c r="K269" i="3" s="1"/>
  <c r="J254" i="3"/>
  <c r="K254" i="3" s="1"/>
  <c r="J63" i="3"/>
  <c r="K63" i="3" s="1"/>
  <c r="J47" i="3"/>
  <c r="K47" i="3" s="1"/>
  <c r="J61" i="3"/>
  <c r="K61" i="3" s="1"/>
  <c r="J248" i="3"/>
  <c r="K248" i="3" s="1"/>
  <c r="J249" i="3"/>
  <c r="K249" i="3" s="1"/>
  <c r="J37" i="3"/>
  <c r="K37" i="3" s="1"/>
  <c r="J38" i="3"/>
  <c r="K38" i="3" s="1"/>
  <c r="J41" i="3"/>
  <c r="K41" i="3" s="1"/>
  <c r="J282" i="3"/>
  <c r="K282" i="3" s="1"/>
  <c r="J286" i="3"/>
  <c r="K286" i="3" s="1"/>
  <c r="J297" i="3"/>
  <c r="K297" i="3" s="1"/>
  <c r="J287" i="3"/>
  <c r="K287" i="3" s="1"/>
  <c r="J296" i="3"/>
  <c r="K296" i="3" s="1"/>
  <c r="J293" i="3"/>
  <c r="K293" i="3" s="1"/>
  <c r="J284" i="3"/>
  <c r="K284" i="3" s="1"/>
  <c r="J288" i="3"/>
  <c r="K288" i="3" s="1"/>
  <c r="J295" i="3"/>
  <c r="K295" i="3" s="1"/>
  <c r="J32" i="3"/>
  <c r="K32" i="3" s="1"/>
  <c r="J44" i="3"/>
  <c r="K44" i="3" s="1"/>
  <c r="J280" i="3"/>
  <c r="K280" i="3" s="1"/>
  <c r="J292" i="3"/>
  <c r="K292" i="3" s="1"/>
  <c r="J289" i="3"/>
  <c r="K289" i="3" s="1"/>
  <c r="J26" i="3"/>
  <c r="K26" i="3" s="1"/>
  <c r="J34" i="3"/>
  <c r="K34" i="3" s="1"/>
  <c r="J39" i="3"/>
  <c r="K39" i="3" s="1"/>
  <c r="J29" i="3"/>
  <c r="K29" i="3" s="1"/>
  <c r="J25" i="3"/>
  <c r="K25" i="3" s="1"/>
  <c r="J35" i="3"/>
  <c r="K35" i="3" s="1"/>
  <c r="J246" i="3"/>
  <c r="K246" i="3" s="1"/>
  <c r="J266" i="3"/>
  <c r="K266" i="3" s="1"/>
  <c r="J257" i="3"/>
  <c r="K257" i="3" s="1"/>
  <c r="J240" i="3"/>
  <c r="K240" i="3" s="1"/>
  <c r="J31" i="3"/>
  <c r="K31" i="3" s="1"/>
  <c r="J36" i="3"/>
  <c r="K36" i="3" s="1"/>
  <c r="J28" i="3"/>
  <c r="K28" i="3" s="1"/>
  <c r="J40" i="3"/>
  <c r="K40" i="3" s="1"/>
  <c r="J43" i="3"/>
  <c r="K43" i="3" s="1"/>
  <c r="J30" i="3"/>
  <c r="K30" i="3" s="1"/>
  <c r="J42" i="3"/>
  <c r="K42" i="3" s="1"/>
  <c r="J27" i="3"/>
  <c r="K27" i="3" s="1"/>
  <c r="J33" i="3"/>
  <c r="K33" i="3" s="1"/>
  <c r="J199" i="3"/>
  <c r="K199" i="3" s="1"/>
  <c r="P298" i="3" l="1"/>
  <c r="N298" i="3"/>
  <c r="I298" i="3"/>
  <c r="M226" i="3"/>
  <c r="O226" i="3"/>
  <c r="M207" i="3"/>
  <c r="O207" i="3"/>
  <c r="M232" i="3"/>
  <c r="O232" i="3"/>
  <c r="M227" i="3"/>
  <c r="O227" i="3"/>
  <c r="M204" i="3"/>
  <c r="O204" i="3"/>
  <c r="M181" i="3"/>
  <c r="O181" i="3"/>
  <c r="M174" i="3"/>
  <c r="O174" i="3"/>
  <c r="M210" i="3"/>
  <c r="O210" i="3"/>
  <c r="M223" i="3"/>
  <c r="O223" i="3"/>
  <c r="M157" i="3"/>
  <c r="O157" i="3"/>
  <c r="M230" i="3"/>
  <c r="O230" i="3"/>
  <c r="M224" i="3"/>
  <c r="O224" i="3"/>
  <c r="M176" i="3"/>
  <c r="O176" i="3"/>
  <c r="M193" i="3"/>
  <c r="O193" i="3"/>
  <c r="M231" i="3"/>
  <c r="O231" i="3"/>
  <c r="M219" i="3"/>
  <c r="O219" i="3"/>
  <c r="M186" i="3"/>
  <c r="O186" i="3"/>
  <c r="M188" i="3"/>
  <c r="O188" i="3"/>
  <c r="M209" i="3"/>
  <c r="O209" i="3"/>
  <c r="M212" i="3"/>
  <c r="O212" i="3"/>
  <c r="M187" i="3"/>
  <c r="O187" i="3"/>
  <c r="M214" i="3"/>
  <c r="O214" i="3"/>
  <c r="M133" i="3"/>
  <c r="O133" i="3"/>
  <c r="M132" i="3"/>
  <c r="O132" i="3"/>
  <c r="M155" i="3"/>
  <c r="O155" i="3"/>
  <c r="M136" i="3"/>
  <c r="O136" i="3"/>
  <c r="M134" i="3"/>
  <c r="O134" i="3"/>
  <c r="M124" i="3"/>
  <c r="O124" i="3"/>
  <c r="M123" i="3"/>
  <c r="O123" i="3"/>
  <c r="M149" i="3"/>
  <c r="O149" i="3"/>
  <c r="M126" i="3"/>
  <c r="O126" i="3"/>
  <c r="M143" i="3"/>
  <c r="O143" i="3"/>
  <c r="M130" i="3"/>
  <c r="O130" i="3"/>
  <c r="M128" i="3"/>
  <c r="O128" i="3"/>
  <c r="M137" i="3"/>
  <c r="O137" i="3"/>
  <c r="M165" i="3"/>
  <c r="O165" i="3"/>
  <c r="M148" i="3"/>
  <c r="O148" i="3"/>
  <c r="M153" i="3"/>
  <c r="O153" i="3"/>
  <c r="M129" i="3"/>
  <c r="O129" i="3"/>
  <c r="M161" i="3"/>
  <c r="O161" i="3"/>
  <c r="M125" i="3"/>
  <c r="O125" i="3"/>
  <c r="M145" i="3"/>
  <c r="O145" i="3"/>
  <c r="M152" i="3"/>
  <c r="O152" i="3"/>
  <c r="M151" i="3"/>
  <c r="O151" i="3"/>
  <c r="M169" i="3"/>
  <c r="O169" i="3"/>
  <c r="M141" i="3"/>
  <c r="O141" i="3"/>
  <c r="M164" i="3"/>
  <c r="O164" i="3"/>
  <c r="M127" i="3"/>
  <c r="O127" i="3"/>
  <c r="M135" i="3"/>
  <c r="O135" i="3"/>
  <c r="M146" i="3"/>
  <c r="O146" i="3"/>
  <c r="M140" i="3"/>
  <c r="O140" i="3"/>
  <c r="M138" i="3"/>
  <c r="O138" i="3"/>
  <c r="M147" i="3"/>
  <c r="O147" i="3"/>
  <c r="M142" i="3"/>
  <c r="O142" i="3"/>
  <c r="M154" i="3"/>
  <c r="O154" i="3"/>
  <c r="M203" i="3"/>
  <c r="O203" i="3"/>
  <c r="M215" i="3"/>
  <c r="O215" i="3"/>
  <c r="M200" i="3"/>
  <c r="O200" i="3"/>
  <c r="M183" i="3"/>
  <c r="O183" i="3"/>
  <c r="M220" i="3"/>
  <c r="O220" i="3"/>
  <c r="M77" i="3"/>
  <c r="O77" i="3"/>
  <c r="M71" i="3"/>
  <c r="O71" i="3"/>
  <c r="M178" i="3"/>
  <c r="O178" i="3"/>
  <c r="M234" i="3"/>
  <c r="O234" i="3"/>
  <c r="M228" i="3"/>
  <c r="O228" i="3"/>
  <c r="M236" i="3"/>
  <c r="O236" i="3"/>
  <c r="M217" i="3"/>
  <c r="O217" i="3"/>
  <c r="M233" i="3"/>
  <c r="O233" i="3"/>
  <c r="M225" i="3"/>
  <c r="O225" i="3"/>
  <c r="M180" i="3"/>
  <c r="O180" i="3"/>
  <c r="M208" i="3"/>
  <c r="O208" i="3"/>
  <c r="M213" i="3"/>
  <c r="O213" i="3"/>
  <c r="M197" i="3"/>
  <c r="O197" i="3"/>
  <c r="M79" i="3"/>
  <c r="O79" i="3"/>
  <c r="M91" i="3"/>
  <c r="O91" i="3"/>
  <c r="M88" i="3"/>
  <c r="O88" i="3"/>
  <c r="M216" i="3"/>
  <c r="O216" i="3"/>
  <c r="M205" i="3"/>
  <c r="O205" i="3"/>
  <c r="M235" i="3"/>
  <c r="O235" i="3"/>
  <c r="M198" i="3"/>
  <c r="O198" i="3"/>
  <c r="M211" i="3"/>
  <c r="O211" i="3"/>
  <c r="M160" i="3"/>
  <c r="O160" i="3"/>
  <c r="M162" i="3"/>
  <c r="O162" i="3"/>
  <c r="M168" i="3"/>
  <c r="O168" i="3"/>
  <c r="M163" i="3"/>
  <c r="O163" i="3"/>
  <c r="M158" i="3"/>
  <c r="O158" i="3"/>
  <c r="M171" i="3"/>
  <c r="O171" i="3"/>
  <c r="M144" i="3"/>
  <c r="O144" i="3"/>
  <c r="M156" i="3"/>
  <c r="O156" i="3"/>
  <c r="M166" i="3"/>
  <c r="O166" i="3"/>
  <c r="M131" i="3"/>
  <c r="O131" i="3"/>
  <c r="M167" i="3"/>
  <c r="O167" i="3"/>
  <c r="M139" i="3"/>
  <c r="O139" i="3"/>
  <c r="M150" i="3"/>
  <c r="O150" i="3"/>
  <c r="M97" i="3"/>
  <c r="O97" i="3"/>
  <c r="M106" i="3"/>
  <c r="O106" i="3"/>
  <c r="M114" i="3"/>
  <c r="O114" i="3"/>
  <c r="M107" i="3"/>
  <c r="O107" i="3"/>
  <c r="M98" i="3"/>
  <c r="O98" i="3"/>
  <c r="M99" i="3"/>
  <c r="O99" i="3"/>
  <c r="M105" i="3"/>
  <c r="O105" i="3"/>
  <c r="M109" i="3"/>
  <c r="O109" i="3"/>
  <c r="M112" i="3"/>
  <c r="O112" i="3"/>
  <c r="M113" i="3"/>
  <c r="O113" i="3"/>
  <c r="M118" i="3"/>
  <c r="O118" i="3"/>
  <c r="M108" i="3"/>
  <c r="O108" i="3"/>
  <c r="M111" i="3"/>
  <c r="O111" i="3"/>
  <c r="M122" i="3"/>
  <c r="O122" i="3"/>
  <c r="M121" i="3"/>
  <c r="O121" i="3"/>
  <c r="M117" i="3"/>
  <c r="O117" i="3"/>
  <c r="M100" i="3"/>
  <c r="O100" i="3"/>
  <c r="M104" i="3"/>
  <c r="O104" i="3"/>
  <c r="M103" i="3"/>
  <c r="O103" i="3"/>
  <c r="M119" i="3"/>
  <c r="O119" i="3"/>
  <c r="M120" i="3"/>
  <c r="O120" i="3"/>
  <c r="M110" i="3"/>
  <c r="O110" i="3"/>
  <c r="M116" i="3"/>
  <c r="O116" i="3"/>
  <c r="M115" i="3"/>
  <c r="O115" i="3"/>
  <c r="M6" i="3"/>
  <c r="O6" i="3"/>
  <c r="M5" i="3"/>
  <c r="O5" i="3"/>
  <c r="M15" i="3"/>
  <c r="O15" i="3"/>
  <c r="M4" i="3"/>
  <c r="O4" i="3"/>
  <c r="M7" i="3"/>
  <c r="O7" i="3"/>
  <c r="M16" i="3"/>
  <c r="O16" i="3"/>
  <c r="M10" i="3"/>
  <c r="O10" i="3"/>
  <c r="M101" i="3"/>
  <c r="O101" i="3"/>
  <c r="M102" i="3"/>
  <c r="O102" i="3"/>
  <c r="M11" i="3"/>
  <c r="O11" i="3"/>
  <c r="M22" i="3"/>
  <c r="O22" i="3"/>
  <c r="M23" i="3"/>
  <c r="O23" i="3"/>
  <c r="M19" i="3"/>
  <c r="O19" i="3"/>
  <c r="M21" i="3"/>
  <c r="O21" i="3"/>
  <c r="M20" i="3"/>
  <c r="O20" i="3"/>
  <c r="M24" i="3"/>
  <c r="O24" i="3"/>
  <c r="M8" i="3"/>
  <c r="O8" i="3"/>
  <c r="M2" i="3"/>
  <c r="O2" i="3"/>
  <c r="M14" i="3"/>
  <c r="O14" i="3"/>
  <c r="M17" i="3"/>
  <c r="O17" i="3"/>
  <c r="M18" i="3"/>
  <c r="O18" i="3"/>
  <c r="M12" i="3"/>
  <c r="O12" i="3"/>
  <c r="M9" i="3"/>
  <c r="O9" i="3"/>
  <c r="M244" i="3"/>
  <c r="O244" i="3"/>
  <c r="M250" i="3"/>
  <c r="O250" i="3"/>
  <c r="M13" i="3"/>
  <c r="O13" i="3"/>
  <c r="M3" i="3"/>
  <c r="O3" i="3"/>
  <c r="M245" i="3"/>
  <c r="O245" i="3"/>
  <c r="M243" i="3"/>
  <c r="O243" i="3"/>
  <c r="M247" i="3"/>
  <c r="O247" i="3"/>
  <c r="M270" i="3"/>
  <c r="O270" i="3"/>
  <c r="M256" i="3"/>
  <c r="O256" i="3"/>
  <c r="M252" i="3"/>
  <c r="O252" i="3"/>
  <c r="M242" i="3"/>
  <c r="O242" i="3"/>
  <c r="M170" i="3"/>
  <c r="O170" i="3"/>
  <c r="M159" i="3"/>
  <c r="O159" i="3"/>
  <c r="M189" i="3"/>
  <c r="O189" i="3"/>
  <c r="M179" i="3"/>
  <c r="O179" i="3"/>
  <c r="M182" i="3"/>
  <c r="O182" i="3"/>
  <c r="M175" i="3"/>
  <c r="O175" i="3"/>
  <c r="M177" i="3"/>
  <c r="O177" i="3"/>
  <c r="M173" i="3"/>
  <c r="O173" i="3"/>
  <c r="M185" i="3"/>
  <c r="O185" i="3"/>
  <c r="M221" i="3"/>
  <c r="O221" i="3"/>
  <c r="M201" i="3"/>
  <c r="O201" i="3"/>
  <c r="M192" i="3"/>
  <c r="O192" i="3"/>
  <c r="M65" i="3"/>
  <c r="O65" i="3"/>
  <c r="M69" i="3"/>
  <c r="O69" i="3"/>
  <c r="M94" i="3"/>
  <c r="O94" i="3"/>
  <c r="M195" i="3"/>
  <c r="O195" i="3"/>
  <c r="M86" i="3"/>
  <c r="O86" i="3"/>
  <c r="M96" i="3"/>
  <c r="O96" i="3"/>
  <c r="M84" i="3"/>
  <c r="O84" i="3"/>
  <c r="M92" i="3"/>
  <c r="O92" i="3"/>
  <c r="M83" i="3"/>
  <c r="O83" i="3"/>
  <c r="M87" i="3"/>
  <c r="O87" i="3"/>
  <c r="M80" i="3"/>
  <c r="O80" i="3"/>
  <c r="M78" i="3"/>
  <c r="O78" i="3"/>
  <c r="M90" i="3"/>
  <c r="O90" i="3"/>
  <c r="M81" i="3"/>
  <c r="O81" i="3"/>
  <c r="M238" i="3"/>
  <c r="O238" i="3"/>
  <c r="M229" i="3"/>
  <c r="O229" i="3"/>
  <c r="M239" i="3"/>
  <c r="O239" i="3"/>
  <c r="M222" i="3"/>
  <c r="O222" i="3"/>
  <c r="M237" i="3"/>
  <c r="O237" i="3"/>
  <c r="M218" i="3"/>
  <c r="O218" i="3"/>
  <c r="M172" i="3"/>
  <c r="O172" i="3"/>
  <c r="M206" i="3"/>
  <c r="O206" i="3"/>
  <c r="M95" i="3"/>
  <c r="O95" i="3"/>
  <c r="M76" i="3"/>
  <c r="O76" i="3"/>
  <c r="M73" i="3"/>
  <c r="O73" i="3"/>
  <c r="M93" i="3"/>
  <c r="O93" i="3"/>
  <c r="M74" i="3"/>
  <c r="O74" i="3"/>
  <c r="M82" i="3"/>
  <c r="O82" i="3"/>
  <c r="M85" i="3"/>
  <c r="O85" i="3"/>
  <c r="M70" i="3"/>
  <c r="O70" i="3"/>
  <c r="M89" i="3"/>
  <c r="O89" i="3"/>
  <c r="M75" i="3"/>
  <c r="O75" i="3"/>
  <c r="M67" i="3"/>
  <c r="O67" i="3"/>
  <c r="M72" i="3"/>
  <c r="O72" i="3"/>
  <c r="M68" i="3"/>
  <c r="O68" i="3"/>
  <c r="M66" i="3"/>
  <c r="O66" i="3"/>
  <c r="M291" i="3"/>
  <c r="O291" i="3"/>
  <c r="M294" i="3"/>
  <c r="O294" i="3"/>
  <c r="M290" i="3"/>
  <c r="O290" i="3"/>
  <c r="M194" i="3"/>
  <c r="O194" i="3"/>
  <c r="M196" i="3"/>
  <c r="O196" i="3"/>
  <c r="M191" i="3"/>
  <c r="O191" i="3"/>
  <c r="M184" i="3"/>
  <c r="O184" i="3"/>
  <c r="M202" i="3"/>
  <c r="O202" i="3"/>
  <c r="M190" i="3"/>
  <c r="O190" i="3"/>
  <c r="M262" i="3"/>
  <c r="O262" i="3"/>
  <c r="M253" i="3"/>
  <c r="O253" i="3"/>
  <c r="M241" i="3"/>
  <c r="O241" i="3"/>
  <c r="M268" i="3"/>
  <c r="O268" i="3"/>
  <c r="M259" i="3"/>
  <c r="O259" i="3"/>
  <c r="M272" i="3"/>
  <c r="O272" i="3"/>
  <c r="M261" i="3"/>
  <c r="O261" i="3"/>
  <c r="M277" i="3"/>
  <c r="O277" i="3"/>
  <c r="M45" i="3"/>
  <c r="O45" i="3"/>
  <c r="M46" i="3"/>
  <c r="O46" i="3"/>
  <c r="M57" i="3"/>
  <c r="O57" i="3"/>
  <c r="M55" i="3"/>
  <c r="O55" i="3"/>
  <c r="M56" i="3"/>
  <c r="O56" i="3"/>
  <c r="M52" i="3"/>
  <c r="O52" i="3"/>
  <c r="M58" i="3"/>
  <c r="O58" i="3"/>
  <c r="M50" i="3"/>
  <c r="O50" i="3"/>
  <c r="M51" i="3"/>
  <c r="O51" i="3"/>
  <c r="M59" i="3"/>
  <c r="O59" i="3"/>
  <c r="M263" i="3"/>
  <c r="O263" i="3"/>
  <c r="M260" i="3"/>
  <c r="O260" i="3"/>
  <c r="M265" i="3"/>
  <c r="O265" i="3"/>
  <c r="M62" i="3"/>
  <c r="O62" i="3"/>
  <c r="M60" i="3"/>
  <c r="O60" i="3"/>
  <c r="M54" i="3"/>
  <c r="O54" i="3"/>
  <c r="M64" i="3"/>
  <c r="O64" i="3"/>
  <c r="M48" i="3"/>
  <c r="O48" i="3"/>
  <c r="M53" i="3"/>
  <c r="O53" i="3"/>
  <c r="M49" i="3"/>
  <c r="O49" i="3"/>
  <c r="M267" i="3"/>
  <c r="O267" i="3"/>
  <c r="M276" i="3"/>
  <c r="O276" i="3"/>
  <c r="M258" i="3"/>
  <c r="O258" i="3"/>
  <c r="M271" i="3"/>
  <c r="O271" i="3"/>
  <c r="M273" i="3"/>
  <c r="O273" i="3"/>
  <c r="M275" i="3"/>
  <c r="O275" i="3"/>
  <c r="M251" i="3"/>
  <c r="O251" i="3"/>
  <c r="M255" i="3"/>
  <c r="O255" i="3"/>
  <c r="M278" i="3"/>
  <c r="O278" i="3"/>
  <c r="M285" i="3"/>
  <c r="O285" i="3"/>
  <c r="M281" i="3"/>
  <c r="O281" i="3"/>
  <c r="M283" i="3"/>
  <c r="O283" i="3"/>
  <c r="M279" i="3"/>
  <c r="O279" i="3"/>
  <c r="M274" i="3"/>
  <c r="O274" i="3"/>
  <c r="M264" i="3"/>
  <c r="O264" i="3"/>
  <c r="M269" i="3"/>
  <c r="O269" i="3"/>
  <c r="M254" i="3"/>
  <c r="O254" i="3"/>
  <c r="M63" i="3"/>
  <c r="O63" i="3"/>
  <c r="M47" i="3"/>
  <c r="O47" i="3"/>
  <c r="M61" i="3"/>
  <c r="O61" i="3"/>
  <c r="M248" i="3"/>
  <c r="O248" i="3"/>
  <c r="M249" i="3"/>
  <c r="O249" i="3"/>
  <c r="M37" i="3"/>
  <c r="O37" i="3"/>
  <c r="M38" i="3"/>
  <c r="O38" i="3"/>
  <c r="M41" i="3"/>
  <c r="O41" i="3"/>
  <c r="M282" i="3"/>
  <c r="O282" i="3"/>
  <c r="M286" i="3"/>
  <c r="O286" i="3"/>
  <c r="M297" i="3"/>
  <c r="O297" i="3"/>
  <c r="M287" i="3"/>
  <c r="O287" i="3"/>
  <c r="M296" i="3"/>
  <c r="O296" i="3"/>
  <c r="M293" i="3"/>
  <c r="O293" i="3"/>
  <c r="M284" i="3"/>
  <c r="O284" i="3"/>
  <c r="M288" i="3"/>
  <c r="O288" i="3"/>
  <c r="M295" i="3"/>
  <c r="O295" i="3"/>
  <c r="M32" i="3"/>
  <c r="O32" i="3"/>
  <c r="M44" i="3"/>
  <c r="O44" i="3"/>
  <c r="M280" i="3"/>
  <c r="O280" i="3"/>
  <c r="M292" i="3"/>
  <c r="O292" i="3"/>
  <c r="M289" i="3"/>
  <c r="O289" i="3"/>
  <c r="M26" i="3"/>
  <c r="O26" i="3"/>
  <c r="M34" i="3"/>
  <c r="O34" i="3"/>
  <c r="M39" i="3"/>
  <c r="O39" i="3"/>
  <c r="M29" i="3"/>
  <c r="O29" i="3"/>
  <c r="M25" i="3"/>
  <c r="O25" i="3"/>
  <c r="M35" i="3"/>
  <c r="O35" i="3"/>
  <c r="M246" i="3"/>
  <c r="O246" i="3"/>
  <c r="M266" i="3"/>
  <c r="O266" i="3"/>
  <c r="M257" i="3"/>
  <c r="O257" i="3"/>
  <c r="M240" i="3"/>
  <c r="O240" i="3"/>
  <c r="M31" i="3"/>
  <c r="O31" i="3"/>
  <c r="M36" i="3"/>
  <c r="O36" i="3"/>
  <c r="M28" i="3"/>
  <c r="O28" i="3"/>
  <c r="M40" i="3"/>
  <c r="O40" i="3"/>
  <c r="M43" i="3"/>
  <c r="O43" i="3"/>
  <c r="M30" i="3"/>
  <c r="O30" i="3"/>
  <c r="M42" i="3"/>
  <c r="O42" i="3"/>
  <c r="M27" i="3"/>
  <c r="O27" i="3"/>
  <c r="M33" i="3"/>
  <c r="O33" i="3"/>
  <c r="O199" i="3"/>
  <c r="M199" i="3"/>
  <c r="M298" i="3" l="1"/>
  <c r="O298" i="3"/>
</calcChain>
</file>

<file path=xl/sharedStrings.xml><?xml version="1.0" encoding="utf-8"?>
<sst xmlns="http://schemas.openxmlformats.org/spreadsheetml/2006/main" count="925" uniqueCount="339">
  <si>
    <t>क्र-स-</t>
  </si>
  <si>
    <t>भाग संख्या</t>
  </si>
  <si>
    <t>बूथ लेवल अधिकारी का नाम</t>
  </si>
  <si>
    <t>पर्यवेक्षक का नाम</t>
  </si>
  <si>
    <t>मो- नं-</t>
  </si>
  <si>
    <t>सराडा</t>
  </si>
  <si>
    <t>श्री दिनेश कुमार हरमोर</t>
  </si>
  <si>
    <t>श्री चन्द्र प्रकाश डांगी</t>
  </si>
  <si>
    <t>श्री गोविन्द राम मीणा</t>
  </si>
  <si>
    <t>श्री रमेश कुमार मीणा</t>
  </si>
  <si>
    <t>श्री भेरूलाल मीणा</t>
  </si>
  <si>
    <t>श्री जगदीश लाल जोशी</t>
  </si>
  <si>
    <t>श्री मेघराज मीणा</t>
  </si>
  <si>
    <t>श्री नारायण लाल मीणा</t>
  </si>
  <si>
    <t>श्री आजाद कुमार डामोर</t>
  </si>
  <si>
    <t>श्री सुरजमल मीणा</t>
  </si>
  <si>
    <t>श्री मोहन लाल मीणा</t>
  </si>
  <si>
    <t>श्री गोविन्द लाल मीणा</t>
  </si>
  <si>
    <t>जयसमन्द</t>
  </si>
  <si>
    <t>श्री कुरीलाल कलाल</t>
  </si>
  <si>
    <t>श्री भंवर लाल मीणा</t>
  </si>
  <si>
    <t>श्री सुन्दर लाल मीणा</t>
  </si>
  <si>
    <t>श्री राजकुमार मीणा</t>
  </si>
  <si>
    <t>श्री अर्जुन लाल खराडी</t>
  </si>
  <si>
    <t>श्री नेमी चन्द जैन</t>
  </si>
  <si>
    <t>श्री बसन्ती लाल मीणा</t>
  </si>
  <si>
    <t>श्री जगदीश चन्द्र पालीवाल</t>
  </si>
  <si>
    <t>9414736766, 9460438235</t>
  </si>
  <si>
    <t>श्री मेगी दास</t>
  </si>
  <si>
    <t>9413094299
 6350270499</t>
  </si>
  <si>
    <t>श्री तेज शंकर मीणा</t>
  </si>
  <si>
    <t>श्री हिरा लाल कलाल</t>
  </si>
  <si>
    <t>श्री भूपेन्द्र कुमार मीणा</t>
  </si>
  <si>
    <t>श्री महेन्द्र टेलर</t>
  </si>
  <si>
    <t>श्री अमर सिंह मीणा</t>
  </si>
  <si>
    <t xml:space="preserve">श्री प्रेमलाल पटेल </t>
  </si>
  <si>
    <t>श्री देवी लाल मीणा</t>
  </si>
  <si>
    <t>श्री भूपेन्द्र सिंह पंवार</t>
  </si>
  <si>
    <t>श्री लीलाधर नागदा</t>
  </si>
  <si>
    <t>श्री हरिश चन्द्र मेघवाल</t>
  </si>
  <si>
    <t>श्री सुरेन्द्र कुमार मीणा</t>
  </si>
  <si>
    <t>श्री महेन्द्र सिंह राव</t>
  </si>
  <si>
    <t>श्री हिम्मत सिंह राजपुत</t>
  </si>
  <si>
    <t>श्री तुषार जोशी</t>
  </si>
  <si>
    <t>श्री लक्ष्मण लाल मीणा</t>
  </si>
  <si>
    <t>श्री महेन्द्र सिह</t>
  </si>
  <si>
    <t>श्री महेश कुमार मीणा</t>
  </si>
  <si>
    <t>श्री छगनलाल मीणा</t>
  </si>
  <si>
    <t>श्री रतन लाल मीणा</t>
  </si>
  <si>
    <t>श्री राकेश कलाल</t>
  </si>
  <si>
    <t>श्री कुलदीप सिंह सिसोदिया</t>
  </si>
  <si>
    <t>श्री सोहन सिंह राठौड</t>
  </si>
  <si>
    <t>श्री प्रदिप वैष्णव</t>
  </si>
  <si>
    <t>श्री नानालाल मीणा</t>
  </si>
  <si>
    <t>श्री गोपाल लाल मीणा</t>
  </si>
  <si>
    <t>श्री लक्ष्मण सिंह राजपुत</t>
  </si>
  <si>
    <t>श्री कार्तिक चौबीसा</t>
  </si>
  <si>
    <t>श्री हरीश कुमार पटेल</t>
  </si>
  <si>
    <t>श्री सुरेश कुमार मीणा</t>
  </si>
  <si>
    <t xml:space="preserve">श्री रूप लाल मेघवाल   </t>
  </si>
  <si>
    <t>श्री कालू राम मीणा</t>
  </si>
  <si>
    <t>श्री रमेश चन्द्र मेघवाल</t>
  </si>
  <si>
    <t>श्री सतीश चन्द्र वैष्णव</t>
  </si>
  <si>
    <t>श्री तेजी राम पटेल</t>
  </si>
  <si>
    <t>9950310504 7357469949</t>
  </si>
  <si>
    <t>श्री नाथूलाल पटेल</t>
  </si>
  <si>
    <t>9413666381 9636326981</t>
  </si>
  <si>
    <t>श्री अम्बालाल मीणा</t>
  </si>
  <si>
    <t>श्री चोख चन्द</t>
  </si>
  <si>
    <t>श्री रविन्द्र कुमार पारगी</t>
  </si>
  <si>
    <t>श्री त्रिविक्रम मोड़</t>
  </si>
  <si>
    <t>श्री मणी लाल मीणा</t>
  </si>
  <si>
    <t>श्री रुप लाल मीणा</t>
  </si>
  <si>
    <t>श्री शंकर लाल पटेल</t>
  </si>
  <si>
    <t>श्री देवी लाल पटेल</t>
  </si>
  <si>
    <t>श्री अनुराग मीणा</t>
  </si>
  <si>
    <t>श्री प्रेमशंकर चौबीसा</t>
  </si>
  <si>
    <t>श्री केशव लाल मीणा</t>
  </si>
  <si>
    <t>श्री कांतीलाल मीणा</t>
  </si>
  <si>
    <t>श्री विनोद कुमार मीणा</t>
  </si>
  <si>
    <t>श्री बाबुलाल मेघवाल</t>
  </si>
  <si>
    <t>श्री हेमन्त कुमार मीणा</t>
  </si>
  <si>
    <t>श्री सूरज मल खराडी</t>
  </si>
  <si>
    <t>श्री महेन्द्र कुमार मीणा</t>
  </si>
  <si>
    <t>श्री पूनम चन्द मीणा</t>
  </si>
  <si>
    <t>श्री प्रकाश मीणा</t>
  </si>
  <si>
    <t>श्री देवीलाल मीणा</t>
  </si>
  <si>
    <t>श्री गजेन्द्र कुमार पटेल</t>
  </si>
  <si>
    <t>श्री नाना लाल भगोरा</t>
  </si>
  <si>
    <t>श्री नरेश कुमार चौधरी</t>
  </si>
  <si>
    <t>श्री बंशीलाल मेघवाल</t>
  </si>
  <si>
    <t>श्री शान्तिलाल मीणा</t>
  </si>
  <si>
    <t>श्री गोविन्द सिंग मीणा</t>
  </si>
  <si>
    <t>श्री हांजाराम मीणा</t>
  </si>
  <si>
    <t>श्री इन्द्रजीत मीणा</t>
  </si>
  <si>
    <t>श्री बुद्धि प्रकाश मीणा</t>
  </si>
  <si>
    <t>श्री कृष्ण कुमार मीणा</t>
  </si>
  <si>
    <t>श्री नितेश कुमार चतुर्वेदी</t>
  </si>
  <si>
    <t>श्री चेतन कुमार कलाल</t>
  </si>
  <si>
    <t>श्री प्यारेलाल मीणा</t>
  </si>
  <si>
    <t>श्री राम चन्द्र खराडी</t>
  </si>
  <si>
    <t>श्री इन्द्र कुमार चौबीसा</t>
  </si>
  <si>
    <t>श्री भंवर लाल रेबारी</t>
  </si>
  <si>
    <t>श्री शिवराम मीणा</t>
  </si>
  <si>
    <t>श्री भगवान लाल प्रजापत</t>
  </si>
  <si>
    <t>श्री दशरथ सुथार</t>
  </si>
  <si>
    <t>श्री दिनेश प्रसाद मीणा</t>
  </si>
  <si>
    <t>श्री लोकेश कुमार आमेटा</t>
  </si>
  <si>
    <t>श्री गोतमलाल मीणा</t>
  </si>
  <si>
    <t>श्री शिवलाल मीणा</t>
  </si>
  <si>
    <t>श्री कालू लाल मीणा</t>
  </si>
  <si>
    <t>श्री कालुलाल मीणा</t>
  </si>
  <si>
    <t>गींगला</t>
  </si>
  <si>
    <t>श्री राजेन्द्र कुमार शर्मा</t>
  </si>
  <si>
    <t xml:space="preserve">श्री शंकर लाल चौधरी </t>
  </si>
  <si>
    <t>श्री बंशीलाल भील</t>
  </si>
  <si>
    <t>श्री जितेन्द्र सेवक</t>
  </si>
  <si>
    <t>श्री चितरजंन शर्मा</t>
  </si>
  <si>
    <t>श्री राकेश कुमार सालवी</t>
  </si>
  <si>
    <t>श्री शंकर लाल मीणा</t>
  </si>
  <si>
    <t>श्री नंगाराम गायरी</t>
  </si>
  <si>
    <t>श्री नारायणलाल मेघवाल</t>
  </si>
  <si>
    <t>श्री मनीष पटेल</t>
  </si>
  <si>
    <t>श्री तेजा राम गायरी</t>
  </si>
  <si>
    <t>श्री बाबरमल गायरी</t>
  </si>
  <si>
    <t>श्री मानशंकर डामोर</t>
  </si>
  <si>
    <t>8696558755
 7742220245</t>
  </si>
  <si>
    <t>श्री दलीचन्द पटेल</t>
  </si>
  <si>
    <t>श्री केशा राम मीणा</t>
  </si>
  <si>
    <t>श्री नाथुलाल मीणा</t>
  </si>
  <si>
    <t>श्री कमला शंकर मीणा</t>
  </si>
  <si>
    <t>श्री रोडी लाल मीणा</t>
  </si>
  <si>
    <t>श्री हरिशंकर मेघवाल</t>
  </si>
  <si>
    <t>श्री महिपाल मीणा</t>
  </si>
  <si>
    <t>श्री राम लाल मेघवाल</t>
  </si>
  <si>
    <t>श्री हेमन्त टेलर</t>
  </si>
  <si>
    <t>श्री भीमराज पटेल</t>
  </si>
  <si>
    <t>श्री प्रमोद कुमार जैन</t>
  </si>
  <si>
    <t>श्री नारूमल भील</t>
  </si>
  <si>
    <t>9828010385 6350428292</t>
  </si>
  <si>
    <t>श्री चिराग पसोली</t>
  </si>
  <si>
    <t>श्री मांगी लाल प्रजापत</t>
  </si>
  <si>
    <t>श्री प्रकाश मेघवाल</t>
  </si>
  <si>
    <t>श्री रविन्द्र लौहार</t>
  </si>
  <si>
    <t>श्री शंकरलाल पटेल</t>
  </si>
  <si>
    <t>श्री कैलाश चन्द्र मीणा</t>
  </si>
  <si>
    <t>श्री मुकेश कुमार मीणा</t>
  </si>
  <si>
    <t>श्री गौरीशंकर मीणा</t>
  </si>
  <si>
    <t>श्री देवीलाल पटेल</t>
  </si>
  <si>
    <t>श्री शीतल प्रकाश पटेल</t>
  </si>
  <si>
    <t>श्री अजय गर्ग</t>
  </si>
  <si>
    <t>श्री जगदीश पटेल</t>
  </si>
  <si>
    <t>श्री गोपीराम मीणा</t>
  </si>
  <si>
    <t>श्री देवी लाल कलाल</t>
  </si>
  <si>
    <t>श्री हिरालाल पटेल</t>
  </si>
  <si>
    <t>श्री नवलराम मीणा</t>
  </si>
  <si>
    <t>श्री पुष्पेन्द्र सिंह चूण्डावत</t>
  </si>
  <si>
    <t>श्री चंद्र प्रकाश प्रजापत</t>
  </si>
  <si>
    <t>श्री दल्लाराम मीणा</t>
  </si>
  <si>
    <t>श्री जगदीश लाल ढोली</t>
  </si>
  <si>
    <t>श्री बंसी लाल सालवी</t>
  </si>
  <si>
    <t>श्री शम्भू सिंह चुण्डावत</t>
  </si>
  <si>
    <t>श्री रूपलाल सालवी</t>
  </si>
  <si>
    <t>सलूम्बर</t>
  </si>
  <si>
    <t>श्री प्रकाश चन्द्र मीणा</t>
  </si>
  <si>
    <t>श्री कमलेश कुमार गर्ग</t>
  </si>
  <si>
    <t>श्री खेमराज पटेल</t>
  </si>
  <si>
    <t>श्री उमेश शर्मा</t>
  </si>
  <si>
    <t>श्री मन्ना लाल मीणा</t>
  </si>
  <si>
    <t>श्री नाथू लाल पटेल</t>
  </si>
  <si>
    <t>श्री लक्ष्मीलाल मीणा</t>
  </si>
  <si>
    <t>श्री तुलसीराम सुथार</t>
  </si>
  <si>
    <t>श्री हरिश पटेल</t>
  </si>
  <si>
    <t>श्री भीमराज बुनकर</t>
  </si>
  <si>
    <t>श्री लक्ष्मीलाल चौबीसा</t>
  </si>
  <si>
    <t>श्री कूर सिंह राजपुत</t>
  </si>
  <si>
    <t>श्री कचरू लाल मीणा</t>
  </si>
  <si>
    <t>श्री मदनलाल मीणा</t>
  </si>
  <si>
    <t>श्री दिलीप कुमार पटेल</t>
  </si>
  <si>
    <t>श्री पन्नालाल जैन</t>
  </si>
  <si>
    <t>श्री बाबुलाल मीणा</t>
  </si>
  <si>
    <t>श्री हीरालाल मीणा</t>
  </si>
  <si>
    <t>श्री पुजालाल मीणा</t>
  </si>
  <si>
    <t>श्री मोहनलाल नट</t>
  </si>
  <si>
    <t>श्री निरंजनलाल मीणा</t>
  </si>
  <si>
    <t>7300365201 9799986103</t>
  </si>
  <si>
    <t>8949281728 8890254081</t>
  </si>
  <si>
    <t>श्री हेमराज पटेल</t>
  </si>
  <si>
    <t>श्री शंकर लाल कुम्हार</t>
  </si>
  <si>
    <t>श्री जिग्नेश पंचाल</t>
  </si>
  <si>
    <t>श्री लालूराम पटेल</t>
  </si>
  <si>
    <t>श्री हीरा लाल मीणा</t>
  </si>
  <si>
    <t>श्री मनोज कुमार डांगी</t>
  </si>
  <si>
    <t>श्री दिग्पाल सिंह चुण्ड़ावत</t>
  </si>
  <si>
    <t>श्री दिलीप कुमार चोबीसा</t>
  </si>
  <si>
    <t>श्री प्रेम कुमार मीणा</t>
  </si>
  <si>
    <t>श्री सुनिल मेघवाल</t>
  </si>
  <si>
    <t>श्री कान्तिलाल मीणा</t>
  </si>
  <si>
    <t>श्री मनोहर लाल मीणा</t>
  </si>
  <si>
    <t>श्री दिनेश कुमार मेघवाल</t>
  </si>
  <si>
    <t>9636797153 6378602575</t>
  </si>
  <si>
    <t>श्री वालतराम पटेल</t>
  </si>
  <si>
    <t>श्री हरिश डोडा</t>
  </si>
  <si>
    <t>श्री देवीलाल</t>
  </si>
  <si>
    <t>श्री सुर्यप्रकाश खराडी</t>
  </si>
  <si>
    <t>श्री धनेश्वर मीणा</t>
  </si>
  <si>
    <t>श्री दीपचन्द मीणा</t>
  </si>
  <si>
    <t>श्री संजय मीणा</t>
  </si>
  <si>
    <t>श्री शांति लाल मीणा</t>
  </si>
  <si>
    <t>श्री सुरेश कुमार चौबीसा</t>
  </si>
  <si>
    <t>श्री भगवान लाल मीणा</t>
  </si>
  <si>
    <t>श्री कृष्ण</t>
  </si>
  <si>
    <t>श्री रमेश चन्द मीणा</t>
  </si>
  <si>
    <t>श्री सोहन लाल मीणा</t>
  </si>
  <si>
    <t>श्री कालुलाल पटेल</t>
  </si>
  <si>
    <t>श्री सुरेश कुमार सुथार</t>
  </si>
  <si>
    <t>9664356780 9799442393</t>
  </si>
  <si>
    <t>श्री हितेन्द्र कुमार मीणा</t>
  </si>
  <si>
    <t>श्री हिरा लाल मीणा</t>
  </si>
  <si>
    <t>श्री शरीफ मोहम्मद</t>
  </si>
  <si>
    <t>9460802025 9950077575</t>
  </si>
  <si>
    <t>श्री रूपलाल पटेल</t>
  </si>
  <si>
    <t>श्री दोलतराम मीणा</t>
  </si>
  <si>
    <t>सेमारी</t>
  </si>
  <si>
    <t>श्री कान्तिलाल औदिच्य</t>
  </si>
  <si>
    <t>श्री राम लाल मीणा</t>
  </si>
  <si>
    <t>श्री दीपक पटेल</t>
  </si>
  <si>
    <t>श्री बाबूलाल मीणा</t>
  </si>
  <si>
    <t>श्री चन्द्रशेखर चोबीसा</t>
  </si>
  <si>
    <t>श्री श्याम लाल मीणा</t>
  </si>
  <si>
    <t>9001982105
 6377938472</t>
  </si>
  <si>
    <t>श्री बंशी लाल मीणा</t>
  </si>
  <si>
    <t>श्री भंवर लाल सुथार</t>
  </si>
  <si>
    <t>श्री दिलीप सिंह शक्तावत</t>
  </si>
  <si>
    <t>श्री प्रदीप कुमार आमेटा</t>
  </si>
  <si>
    <t>श्री राजेश कुमार नागदा</t>
  </si>
  <si>
    <t>श्री नारायणलाल बुनकर</t>
  </si>
  <si>
    <t>श्री अम्बालाल बुनकर</t>
  </si>
  <si>
    <t>श्री लक्ष्मण मेहता</t>
  </si>
  <si>
    <t>श्री प्रकाश चंद्र मेहता</t>
  </si>
  <si>
    <t>श्री प्रकाश चन्द्र जैन</t>
  </si>
  <si>
    <t>श्री राजेन्द्र वरनोती</t>
  </si>
  <si>
    <t>श्री संजय कुमार गर्ग</t>
  </si>
  <si>
    <t>श्री राजेन्द्र प्रसाद प्रजापत</t>
  </si>
  <si>
    <t>श्री विमल कुमार आमेटा</t>
  </si>
  <si>
    <t>श्री मोती लाल मीणा</t>
  </si>
  <si>
    <t>श्री भद्रेश शर्मा</t>
  </si>
  <si>
    <t>श्री नरेन्द्र कुमार पटेल</t>
  </si>
  <si>
    <t>श्री दीपेश परसरामाणी</t>
  </si>
  <si>
    <t>श्री महेश सुथार</t>
  </si>
  <si>
    <t>श्री धमेन्द्र कुमार भोई</t>
  </si>
  <si>
    <t>श्री भुपेन्द्र कुमार पटेल</t>
  </si>
  <si>
    <t>9829482314 8619454680</t>
  </si>
  <si>
    <t>श्री रमेश कुमार भट्ट</t>
  </si>
  <si>
    <t>श्री प्रकाश चन्द्र सालवी</t>
  </si>
  <si>
    <t>श्री कुश कुमार नागदा</t>
  </si>
  <si>
    <t>श्री संतोषनाथ जोगी</t>
  </si>
  <si>
    <t>श्री मोहम्मद अकरम</t>
  </si>
  <si>
    <t>श्री मुकेश कुमार राव</t>
  </si>
  <si>
    <t>श्री योगेश कुमार खटीक</t>
  </si>
  <si>
    <t>श्री नाथु सिंह मीणा</t>
  </si>
  <si>
    <t>9001414673 7877682842</t>
  </si>
  <si>
    <t>श्री भीमराज मीणा</t>
  </si>
  <si>
    <t>श्री रुप सिंह राठौड</t>
  </si>
  <si>
    <t>श्री शिव पुरी गोस्वामी</t>
  </si>
  <si>
    <t>श्री परसराम जोशी</t>
  </si>
  <si>
    <t>श्री जितेन्द्र कुमार मीणा</t>
  </si>
  <si>
    <t>श्री जगदीश कुमार मीणा</t>
  </si>
  <si>
    <t>श्री गणेश लाल मेहता</t>
  </si>
  <si>
    <t>श्री तुलसी राम मीणा</t>
  </si>
  <si>
    <t>श्री जितेन्द्र कुमार बूज</t>
  </si>
  <si>
    <t>श्री मोतीलाल डामोर</t>
  </si>
  <si>
    <t>श्री यशवन्त पटेल</t>
  </si>
  <si>
    <t>श्री नरेन्द्र कुमार जोशी</t>
  </si>
  <si>
    <t>श्री देवीलाल सालवी</t>
  </si>
  <si>
    <t>श्री दिनेश कुमार मीणा</t>
  </si>
  <si>
    <t>श्री हीरा लाल पटेल</t>
  </si>
  <si>
    <t>श्री जगन्नाथ नातावत</t>
  </si>
  <si>
    <t>श्री मिलन कुमार उपाध्याय</t>
  </si>
  <si>
    <t>श्री प्रभुलाल जैन</t>
  </si>
  <si>
    <t>श्री हरिराम मीणा</t>
  </si>
  <si>
    <t>श्री प्रकाश चन्द्र खराडी</t>
  </si>
  <si>
    <t>श्री मांगी लाल मीणा</t>
  </si>
  <si>
    <t>श्री अनाड सिंह राठौड</t>
  </si>
  <si>
    <t>श्री भूपेन्द्र सिंह बिहोला</t>
  </si>
  <si>
    <t>श्री अमरलाल मीणा</t>
  </si>
  <si>
    <t>श्री रामलाल बुनकर</t>
  </si>
  <si>
    <t>श्री दुर्जान सिंह राठौड</t>
  </si>
  <si>
    <t>श्री यशवंत उपाध्याय</t>
  </si>
  <si>
    <t>श्री जगन्नाथ जोशी</t>
  </si>
  <si>
    <t>श्री विजय सिंह चैहान</t>
  </si>
  <si>
    <t>श्री दिनेश चंद्र सुथार</t>
  </si>
  <si>
    <t>श्री अम्बा लाल खटीक</t>
  </si>
  <si>
    <t>श्री चुन्नी लाल मीणा</t>
  </si>
  <si>
    <t>श्री ईश्वर लाल चौबीसा</t>
  </si>
  <si>
    <t>श्री भुपेन्द्र कुमार चौबीसा</t>
  </si>
  <si>
    <t>श्री प्रेमचन्द मीणा</t>
  </si>
  <si>
    <t>श्री धुलाराम मीणा</t>
  </si>
  <si>
    <t>श्री रमेश चन्द्र वेद</t>
  </si>
  <si>
    <t>श्री अशोक दर्जी</t>
  </si>
  <si>
    <t>श्री रमन लाल मीणा</t>
  </si>
  <si>
    <t>श्री गणेशलाल सुथार</t>
  </si>
  <si>
    <t>श्री रतनलाल मीणा</t>
  </si>
  <si>
    <t>श्री उमेश कुमार चौबीसा</t>
  </si>
  <si>
    <t>9636563089 7339753027</t>
  </si>
  <si>
    <t>श्री पूंजीलाल मीणा</t>
  </si>
  <si>
    <t>श्री ईश्वर सिंह</t>
  </si>
  <si>
    <t>9929065295 8769350466</t>
  </si>
  <si>
    <t>श्री रमणलाल चौबीसा</t>
  </si>
  <si>
    <t xml:space="preserve">श्री कृष्णपाल सिंह चौहान
</t>
  </si>
  <si>
    <t>श्री कल्पेश कुमार कलाल</t>
  </si>
  <si>
    <t>8769989293 8955140269</t>
  </si>
  <si>
    <t>श्री गणपत लाल सोनी</t>
  </si>
  <si>
    <t>9680265247
 7878505983</t>
  </si>
  <si>
    <t>श्री रतन लाल पटेल</t>
  </si>
  <si>
    <t>श्री रामसिंह राठौड़</t>
  </si>
  <si>
    <t>श्री लक्ष्मण कुमार मीणा</t>
  </si>
  <si>
    <t>श्री जीवतराम मीणा</t>
  </si>
  <si>
    <t>श्री दलजी पटेल</t>
  </si>
  <si>
    <t>श्री शराफत अली</t>
  </si>
  <si>
    <t>श्री प्रेमजी मीणा</t>
  </si>
  <si>
    <t>श्री राजेन्द्र कुमार पाण्डे</t>
  </si>
  <si>
    <t>श्री हरिश चन्द्र मीणा</t>
  </si>
  <si>
    <t>Officer</t>
  </si>
  <si>
    <t>BDO_Salumber</t>
  </si>
  <si>
    <t>SDO_Sarada</t>
  </si>
  <si>
    <t>NP_Salumber</t>
  </si>
  <si>
    <t>CBEO_Salumber</t>
  </si>
  <si>
    <t>Total Elector</t>
  </si>
  <si>
    <t>Total EFs Distributed</t>
  </si>
  <si>
    <t>Total EFs Digitized</t>
  </si>
  <si>
    <t>Total EFs Distributed Percentage %</t>
  </si>
  <si>
    <t>Total EFs Digitized Percentage %</t>
  </si>
  <si>
    <t>पर्यवेक्षक क्रमांक</t>
  </si>
  <si>
    <t>Average %</t>
  </si>
  <si>
    <t>Trained Blo Count</t>
  </si>
  <si>
    <t>Pending Untrained</t>
  </si>
  <si>
    <t>vkfnukad rd y{; ls de</t>
  </si>
  <si>
    <t>dqy y{; izfrfnu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</si>
</sst>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scheme val="minor"/>
    </font>
    <font>
      <b/>
      <sz val="15"/>
      <name val="Kruti Dev 010"/>
    </font>
    <font>
      <b/>
      <sz val="15"/>
      <name val="Times New Roman"/>
      <family val="1"/>
    </font>
    <font>
      <b/>
      <sz val="15"/>
      <color indexed="8"/>
      <name val="Calibri"/>
      <family val="2"/>
      <scheme val="minor"/>
    </font>
    <font>
      <sz val="15"/>
      <name val="Times New Roman"/>
      <family val="1"/>
    </font>
    <font>
      <sz val="15"/>
      <color theme="1"/>
      <name val="Calibri"/>
      <family val="2"/>
      <scheme val="minor"/>
    </font>
    <font>
      <sz val="15"/>
      <name val="Calibri"/>
      <family val="2"/>
      <scheme val="minor"/>
    </font>
    <font>
      <sz val="15"/>
      <name val="Kruti Dev 010"/>
    </font>
    <font>
      <sz val="10"/>
      <name val="Calibri"/>
      <family val="2"/>
      <scheme val="minor"/>
    </font>
    <font>
      <sz val="15"/>
      <color theme="1"/>
      <name val="Times New Roman"/>
      <family val="1"/>
    </font>
    <font>
      <sz val="15"/>
      <color rgb="FF212529"/>
      <name val="Times New Roman"/>
      <family val="1"/>
    </font>
    <font>
      <b/>
      <sz val="15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indexed="8"/>
      <name val="DevLys 010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39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0" fontId="6" fillId="0" borderId="1" xfId="3" applyFont="1" applyBorder="1" applyAlignment="1">
      <alignment horizontal="center" vertical="center" wrapText="1"/>
    </xf>
    <xf numFmtId="0" fontId="6" fillId="0" borderId="1" xfId="4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0" xfId="0" applyFont="1" applyFill="1"/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14" fontId="7" fillId="0" borderId="1" xfId="0" applyNumberFormat="1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9" fillId="0" borderId="0" xfId="0" applyFont="1" applyFill="1"/>
    <xf numFmtId="0" fontId="14" fillId="0" borderId="1" xfId="0" applyFont="1" applyFill="1" applyBorder="1" applyAlignment="1">
      <alignment horizontal="center" vertical="center"/>
    </xf>
    <xf numFmtId="2" fontId="14" fillId="0" borderId="1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2" fontId="14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2" fontId="14" fillId="2" borderId="1" xfId="0" applyNumberFormat="1" applyFont="1" applyFill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16" fillId="0" borderId="1" xfId="2" applyFont="1" applyBorder="1" applyAlignment="1">
      <alignment horizontal="center" vertical="center" wrapText="1"/>
    </xf>
    <xf numFmtId="1" fontId="6" fillId="0" borderId="1" xfId="2" applyNumberFormat="1" applyFont="1" applyBorder="1" applyAlignment="1">
      <alignment horizontal="center" vertical="center"/>
    </xf>
    <xf numFmtId="0" fontId="16" fillId="4" borderId="1" xfId="2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" fillId="4" borderId="0" xfId="0" applyFont="1" applyFill="1"/>
    <xf numFmtId="1" fontId="6" fillId="4" borderId="1" xfId="2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</cellXfs>
  <cellStyles count="9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  <cellStyle name="Normal 9" xfId="8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9"/>
  <sheetViews>
    <sheetView tabSelected="1" view="pageBreakPreview" zoomScale="70" zoomScaleSheetLayoutView="70" workbookViewId="0">
      <pane ySplit="1" topLeftCell="A2" activePane="bottomLeft" state="frozen"/>
      <selection activeCell="J34" sqref="J34"/>
      <selection pane="bottomLeft" activeCell="A2" sqref="A2"/>
    </sheetView>
  </sheetViews>
  <sheetFormatPr defaultColWidth="8.85546875" defaultRowHeight="15" x14ac:dyDescent="0.25"/>
  <cols>
    <col min="1" max="1" width="10.7109375" style="1" bestFit="1" customWidth="1"/>
    <col min="2" max="2" width="12" style="1" bestFit="1" customWidth="1"/>
    <col min="3" max="3" width="33.5703125" style="12" bestFit="1" customWidth="1"/>
    <col min="4" max="4" width="17.5703125" style="1"/>
    <col min="5" max="5" width="20.7109375" style="1" bestFit="1" customWidth="1"/>
    <col min="6" max="6" width="14" style="1" customWidth="1"/>
    <col min="7" max="7" width="30.7109375" style="12" bestFit="1" customWidth="1"/>
    <col min="8" max="8" width="17.5703125" style="12"/>
    <col min="9" max="9" width="17.5703125" style="1"/>
    <col min="10" max="10" width="13" style="1" customWidth="1"/>
    <col min="11" max="11" width="14.42578125" style="33" customWidth="1"/>
    <col min="12" max="17" width="17.5703125" style="1"/>
    <col min="18" max="16384" width="8.85546875" style="1"/>
  </cols>
  <sheetData>
    <row r="1" spans="1:16" s="2" customFormat="1" ht="78" x14ac:dyDescent="0.25">
      <c r="A1" s="4" t="s">
        <v>0</v>
      </c>
      <c r="B1" s="4" t="s">
        <v>1</v>
      </c>
      <c r="C1" s="4" t="s">
        <v>2</v>
      </c>
      <c r="D1" s="4" t="s">
        <v>4</v>
      </c>
      <c r="E1" s="5" t="s">
        <v>323</v>
      </c>
      <c r="F1" s="4" t="s">
        <v>333</v>
      </c>
      <c r="G1" s="4" t="s">
        <v>3</v>
      </c>
      <c r="H1" s="4" t="s">
        <v>4</v>
      </c>
      <c r="I1" s="6" t="s">
        <v>328</v>
      </c>
      <c r="J1" s="29" t="s">
        <v>338</v>
      </c>
      <c r="K1" s="31" t="s">
        <v>337</v>
      </c>
      <c r="L1" s="7" t="s">
        <v>329</v>
      </c>
      <c r="M1" s="7" t="s">
        <v>331</v>
      </c>
      <c r="N1" s="8" t="s">
        <v>330</v>
      </c>
      <c r="O1" s="8" t="s">
        <v>332</v>
      </c>
      <c r="P1" s="8" t="s">
        <v>335</v>
      </c>
    </row>
    <row r="2" spans="1:16" s="3" customFormat="1" ht="19.5" x14ac:dyDescent="0.25">
      <c r="A2" s="9">
        <v>1</v>
      </c>
      <c r="B2" s="9">
        <v>137</v>
      </c>
      <c r="C2" s="13" t="s">
        <v>156</v>
      </c>
      <c r="D2" s="14">
        <v>7851931628</v>
      </c>
      <c r="E2" s="9" t="s">
        <v>324</v>
      </c>
      <c r="F2" s="10">
        <v>31</v>
      </c>
      <c r="G2" s="10" t="s">
        <v>151</v>
      </c>
      <c r="H2" s="9">
        <v>7568675990</v>
      </c>
      <c r="I2" s="28">
        <v>814</v>
      </c>
      <c r="J2" s="30">
        <f>I2/15</f>
        <v>54.266666666666666</v>
      </c>
      <c r="K2" s="34">
        <f>(J2*4)-L2</f>
        <v>96.066666666666663</v>
      </c>
      <c r="L2" s="35">
        <v>121</v>
      </c>
      <c r="M2" s="23">
        <f>(L2/I2)*100</f>
        <v>14.864864864864865</v>
      </c>
      <c r="N2" s="35">
        <v>0</v>
      </c>
      <c r="O2" s="23">
        <f>(N2/I2)*100</f>
        <v>0</v>
      </c>
      <c r="P2" s="35">
        <v>1</v>
      </c>
    </row>
    <row r="3" spans="1:16" ht="19.5" x14ac:dyDescent="0.25">
      <c r="A3" s="9">
        <v>2</v>
      </c>
      <c r="B3" s="9">
        <v>146</v>
      </c>
      <c r="C3" s="13" t="s">
        <v>167</v>
      </c>
      <c r="D3" s="14">
        <v>9929681241</v>
      </c>
      <c r="E3" s="9" t="s">
        <v>324</v>
      </c>
      <c r="F3" s="10">
        <v>28</v>
      </c>
      <c r="G3" s="10" t="s">
        <v>162</v>
      </c>
      <c r="H3" s="9">
        <v>9784785095</v>
      </c>
      <c r="I3" s="28">
        <v>544</v>
      </c>
      <c r="J3" s="30">
        <f>I3/15</f>
        <v>36.266666666666666</v>
      </c>
      <c r="K3" s="34">
        <f>(J3*4)-L3</f>
        <v>57.066666666666663</v>
      </c>
      <c r="L3" s="35">
        <v>88</v>
      </c>
      <c r="M3" s="23">
        <f>(L3/I3)*100</f>
        <v>16.176470588235293</v>
      </c>
      <c r="N3" s="35">
        <v>0</v>
      </c>
      <c r="O3" s="23">
        <f>(N3/I3)*100</f>
        <v>0</v>
      </c>
      <c r="P3" s="35">
        <v>1</v>
      </c>
    </row>
    <row r="4" spans="1:16" ht="19.5" x14ac:dyDescent="0.25">
      <c r="A4" s="9">
        <v>3</v>
      </c>
      <c r="B4" s="9">
        <v>123</v>
      </c>
      <c r="C4" s="13" t="s">
        <v>142</v>
      </c>
      <c r="D4" s="14">
        <v>9057309391</v>
      </c>
      <c r="E4" s="9" t="s">
        <v>324</v>
      </c>
      <c r="F4" s="10">
        <v>33</v>
      </c>
      <c r="G4" s="10" t="s">
        <v>86</v>
      </c>
      <c r="H4" s="9">
        <v>8000626433</v>
      </c>
      <c r="I4" s="28">
        <v>892</v>
      </c>
      <c r="J4" s="30">
        <f>I4/15</f>
        <v>59.466666666666669</v>
      </c>
      <c r="K4" s="34">
        <f>(J4*4)-L4</f>
        <v>79.866666666666674</v>
      </c>
      <c r="L4" s="35">
        <v>158</v>
      </c>
      <c r="M4" s="23">
        <f>(L4/I4)*100</f>
        <v>17.713004484304935</v>
      </c>
      <c r="N4" s="35">
        <v>0</v>
      </c>
      <c r="O4" s="23">
        <f>(N4/I4)*100</f>
        <v>0</v>
      </c>
      <c r="P4" s="35">
        <v>1</v>
      </c>
    </row>
    <row r="5" spans="1:16" ht="19.5" x14ac:dyDescent="0.25">
      <c r="A5" s="9">
        <v>4</v>
      </c>
      <c r="B5" s="9">
        <v>121</v>
      </c>
      <c r="C5" s="13" t="s">
        <v>140</v>
      </c>
      <c r="D5" s="14">
        <v>9784535276</v>
      </c>
      <c r="E5" s="9" t="s">
        <v>324</v>
      </c>
      <c r="F5" s="10">
        <v>33</v>
      </c>
      <c r="G5" s="10" t="s">
        <v>86</v>
      </c>
      <c r="H5" s="9">
        <v>8000626433</v>
      </c>
      <c r="I5" s="28">
        <v>1070</v>
      </c>
      <c r="J5" s="30">
        <f>I5/15</f>
        <v>71.333333333333329</v>
      </c>
      <c r="K5" s="34">
        <f>(J5*4)-L5</f>
        <v>85.333333333333314</v>
      </c>
      <c r="L5" s="35">
        <v>200</v>
      </c>
      <c r="M5" s="23">
        <f>(L5/I5)*100</f>
        <v>18.691588785046729</v>
      </c>
      <c r="N5" s="35">
        <v>0</v>
      </c>
      <c r="O5" s="23">
        <f>(N5/I5)*100</f>
        <v>0</v>
      </c>
      <c r="P5" s="35">
        <v>1</v>
      </c>
    </row>
    <row r="6" spans="1:16" ht="19.5" x14ac:dyDescent="0.25">
      <c r="A6" s="9">
        <v>5</v>
      </c>
      <c r="B6" s="9">
        <v>120</v>
      </c>
      <c r="C6" s="13" t="s">
        <v>138</v>
      </c>
      <c r="D6" s="14">
        <v>9571059596</v>
      </c>
      <c r="E6" s="9" t="s">
        <v>324</v>
      </c>
      <c r="F6" s="10">
        <v>33</v>
      </c>
      <c r="G6" s="10" t="s">
        <v>86</v>
      </c>
      <c r="H6" s="9">
        <v>8000626433</v>
      </c>
      <c r="I6" s="28">
        <v>540</v>
      </c>
      <c r="J6" s="30">
        <f>I6/15</f>
        <v>36</v>
      </c>
      <c r="K6" s="34">
        <f>(J6*4)-L6</f>
        <v>38</v>
      </c>
      <c r="L6" s="35">
        <v>106</v>
      </c>
      <c r="M6" s="23">
        <f>(L6/I6)*100</f>
        <v>19.62962962962963</v>
      </c>
      <c r="N6" s="35">
        <v>0</v>
      </c>
      <c r="O6" s="23">
        <f>(N6/I6)*100</f>
        <v>0</v>
      </c>
      <c r="P6" s="35">
        <v>1</v>
      </c>
    </row>
    <row r="7" spans="1:16" ht="19.5" x14ac:dyDescent="0.25">
      <c r="A7" s="9">
        <v>6</v>
      </c>
      <c r="B7" s="9">
        <v>124</v>
      </c>
      <c r="C7" s="13" t="s">
        <v>143</v>
      </c>
      <c r="D7" s="14">
        <v>9828818334</v>
      </c>
      <c r="E7" s="9" t="s">
        <v>324</v>
      </c>
      <c r="F7" s="10">
        <v>33</v>
      </c>
      <c r="G7" s="10" t="s">
        <v>86</v>
      </c>
      <c r="H7" s="9">
        <v>8000626433</v>
      </c>
      <c r="I7" s="28">
        <v>985</v>
      </c>
      <c r="J7" s="30">
        <f>I7/15</f>
        <v>65.666666666666671</v>
      </c>
      <c r="K7" s="34">
        <f>(J7*4)-L7</f>
        <v>62.666666666666686</v>
      </c>
      <c r="L7" s="35">
        <v>200</v>
      </c>
      <c r="M7" s="23">
        <f>(L7/I7)*100</f>
        <v>20.304568527918782</v>
      </c>
      <c r="N7" s="35">
        <v>0</v>
      </c>
      <c r="O7" s="23">
        <f>(N7/I7)*100</f>
        <v>0</v>
      </c>
      <c r="P7" s="35">
        <v>0</v>
      </c>
    </row>
    <row r="8" spans="1:16" ht="19.5" x14ac:dyDescent="0.25">
      <c r="A8" s="9">
        <v>7</v>
      </c>
      <c r="B8" s="9">
        <v>136</v>
      </c>
      <c r="C8" s="13" t="s">
        <v>155</v>
      </c>
      <c r="D8" s="14">
        <v>9982386336</v>
      </c>
      <c r="E8" s="9" t="s">
        <v>324</v>
      </c>
      <c r="F8" s="10">
        <v>31</v>
      </c>
      <c r="G8" s="10" t="s">
        <v>151</v>
      </c>
      <c r="H8" s="9">
        <v>7568675990</v>
      </c>
      <c r="I8" s="28">
        <v>1406</v>
      </c>
      <c r="J8" s="30">
        <f>I8/15</f>
        <v>93.733333333333334</v>
      </c>
      <c r="K8" s="34">
        <f>(J8*4)-L8</f>
        <v>88.933333333333337</v>
      </c>
      <c r="L8" s="35">
        <v>286</v>
      </c>
      <c r="M8" s="23">
        <f>(L8/I8)*100</f>
        <v>20.341394025604551</v>
      </c>
      <c r="N8" s="35">
        <v>0</v>
      </c>
      <c r="O8" s="23">
        <f>(N8/I8)*100</f>
        <v>0</v>
      </c>
      <c r="P8" s="35">
        <v>1</v>
      </c>
    </row>
    <row r="9" spans="1:16" ht="19.5" x14ac:dyDescent="0.25">
      <c r="A9" s="9">
        <v>8</v>
      </c>
      <c r="B9" s="9">
        <v>142</v>
      </c>
      <c r="C9" s="13" t="s">
        <v>161</v>
      </c>
      <c r="D9" s="14">
        <v>9571216032</v>
      </c>
      <c r="E9" s="9" t="s">
        <v>324</v>
      </c>
      <c r="F9" s="10">
        <v>28</v>
      </c>
      <c r="G9" s="10" t="s">
        <v>162</v>
      </c>
      <c r="H9" s="9">
        <v>9784785095</v>
      </c>
      <c r="I9" s="28">
        <v>1268</v>
      </c>
      <c r="J9" s="30">
        <f>I9/15</f>
        <v>84.533333333333331</v>
      </c>
      <c r="K9" s="34">
        <f>(J9*4)-L9</f>
        <v>67.133333333333326</v>
      </c>
      <c r="L9" s="35">
        <v>271</v>
      </c>
      <c r="M9" s="23">
        <f>(L9/I9)*100</f>
        <v>21.372239747634069</v>
      </c>
      <c r="N9" s="35">
        <v>0</v>
      </c>
      <c r="O9" s="23">
        <f>(N9/I9)*100</f>
        <v>0</v>
      </c>
      <c r="P9" s="35">
        <v>1</v>
      </c>
    </row>
    <row r="10" spans="1:16" ht="19.5" x14ac:dyDescent="0.25">
      <c r="A10" s="9">
        <v>9</v>
      </c>
      <c r="B10" s="9">
        <v>126</v>
      </c>
      <c r="C10" s="13" t="s">
        <v>145</v>
      </c>
      <c r="D10" s="17">
        <v>9588269283</v>
      </c>
      <c r="E10" s="9" t="s">
        <v>324</v>
      </c>
      <c r="F10" s="10">
        <v>33</v>
      </c>
      <c r="G10" s="10" t="s">
        <v>86</v>
      </c>
      <c r="H10" s="9">
        <v>8000626433</v>
      </c>
      <c r="I10" s="28">
        <v>1236</v>
      </c>
      <c r="J10" s="30">
        <f>I10/15</f>
        <v>82.4</v>
      </c>
      <c r="K10" s="34">
        <f>(J10*4)-L10</f>
        <v>61.600000000000023</v>
      </c>
      <c r="L10" s="35">
        <v>268</v>
      </c>
      <c r="M10" s="23">
        <f>(L10/I10)*100</f>
        <v>21.68284789644013</v>
      </c>
      <c r="N10" s="35">
        <v>0</v>
      </c>
      <c r="O10" s="23">
        <f>(N10/I10)*100</f>
        <v>0</v>
      </c>
      <c r="P10" s="35">
        <v>1</v>
      </c>
    </row>
    <row r="11" spans="1:16" ht="19.5" x14ac:dyDescent="0.25">
      <c r="A11" s="9">
        <v>10</v>
      </c>
      <c r="B11" s="9">
        <v>129</v>
      </c>
      <c r="C11" s="13" t="s">
        <v>148</v>
      </c>
      <c r="D11" s="14">
        <v>9828820551</v>
      </c>
      <c r="E11" s="9" t="s">
        <v>324</v>
      </c>
      <c r="F11" s="10">
        <v>33</v>
      </c>
      <c r="G11" s="10" t="s">
        <v>86</v>
      </c>
      <c r="H11" s="9">
        <v>8000626433</v>
      </c>
      <c r="I11" s="28">
        <v>1177</v>
      </c>
      <c r="J11" s="30">
        <f>I11/15</f>
        <v>78.466666666666669</v>
      </c>
      <c r="K11" s="34">
        <f>(J11*4)-L11</f>
        <v>57.866666666666674</v>
      </c>
      <c r="L11" s="35">
        <v>256</v>
      </c>
      <c r="M11" s="23">
        <f>(L11/I11)*100</f>
        <v>21.750212404418011</v>
      </c>
      <c r="N11" s="35">
        <v>0</v>
      </c>
      <c r="O11" s="23">
        <f>(N11/I11)*100</f>
        <v>0</v>
      </c>
      <c r="P11" s="35">
        <v>1</v>
      </c>
    </row>
    <row r="12" spans="1:16" ht="19.5" x14ac:dyDescent="0.25">
      <c r="A12" s="9">
        <v>11</v>
      </c>
      <c r="B12" s="9">
        <v>141</v>
      </c>
      <c r="C12" s="13" t="s">
        <v>160</v>
      </c>
      <c r="D12" s="14">
        <v>8890818746</v>
      </c>
      <c r="E12" s="9" t="s">
        <v>324</v>
      </c>
      <c r="F12" s="10">
        <v>31</v>
      </c>
      <c r="G12" s="10" t="s">
        <v>151</v>
      </c>
      <c r="H12" s="9">
        <v>7568675990</v>
      </c>
      <c r="I12" s="28">
        <v>1018</v>
      </c>
      <c r="J12" s="30">
        <f>I12/15</f>
        <v>67.86666666666666</v>
      </c>
      <c r="K12" s="34">
        <f>(J12*4)-L12</f>
        <v>41.46666666666664</v>
      </c>
      <c r="L12" s="35">
        <v>230</v>
      </c>
      <c r="M12" s="23">
        <f>(L12/I12)*100</f>
        <v>22.593320235756384</v>
      </c>
      <c r="N12" s="35">
        <v>0</v>
      </c>
      <c r="O12" s="23">
        <f>(N12/I12)*100</f>
        <v>0</v>
      </c>
      <c r="P12" s="35">
        <v>1</v>
      </c>
    </row>
    <row r="13" spans="1:16" ht="19.5" x14ac:dyDescent="0.25">
      <c r="A13" s="9">
        <v>12</v>
      </c>
      <c r="B13" s="9">
        <v>145</v>
      </c>
      <c r="C13" s="13" t="s">
        <v>166</v>
      </c>
      <c r="D13" s="14">
        <v>9649984784</v>
      </c>
      <c r="E13" s="9" t="s">
        <v>324</v>
      </c>
      <c r="F13" s="10">
        <v>28</v>
      </c>
      <c r="G13" s="10" t="s">
        <v>162</v>
      </c>
      <c r="H13" s="9">
        <v>9784785095</v>
      </c>
      <c r="I13" s="28">
        <v>1324</v>
      </c>
      <c r="J13" s="30">
        <f>I13/15</f>
        <v>88.266666666666666</v>
      </c>
      <c r="K13" s="34">
        <f>(J13*4)-L13</f>
        <v>29.066666666666663</v>
      </c>
      <c r="L13" s="35">
        <v>324</v>
      </c>
      <c r="M13" s="23">
        <f>(L13/I13)*100</f>
        <v>24.471299093655588</v>
      </c>
      <c r="N13" s="35">
        <v>0</v>
      </c>
      <c r="O13" s="23">
        <f>(N13/I13)*100</f>
        <v>0</v>
      </c>
      <c r="P13" s="35">
        <v>1</v>
      </c>
    </row>
    <row r="14" spans="1:16" ht="19.5" x14ac:dyDescent="0.25">
      <c r="A14" s="9">
        <v>13</v>
      </c>
      <c r="B14" s="9">
        <v>138</v>
      </c>
      <c r="C14" s="13" t="s">
        <v>157</v>
      </c>
      <c r="D14" s="14">
        <v>9950097554</v>
      </c>
      <c r="E14" s="9" t="s">
        <v>324</v>
      </c>
      <c r="F14" s="10">
        <v>31</v>
      </c>
      <c r="G14" s="10" t="s">
        <v>151</v>
      </c>
      <c r="H14" s="9">
        <v>7568675990</v>
      </c>
      <c r="I14" s="28">
        <v>673</v>
      </c>
      <c r="J14" s="30">
        <f>I14/15</f>
        <v>44.866666666666667</v>
      </c>
      <c r="K14" s="34">
        <f>(J14*4)-L14</f>
        <v>-5.5333333333333314</v>
      </c>
      <c r="L14" s="35">
        <v>185</v>
      </c>
      <c r="M14" s="23">
        <f>(L14/I14)*100</f>
        <v>27.488855869242201</v>
      </c>
      <c r="N14" s="35">
        <v>0</v>
      </c>
      <c r="O14" s="23">
        <f>(N14/I14)*100</f>
        <v>0</v>
      </c>
      <c r="P14" s="35">
        <v>1</v>
      </c>
    </row>
    <row r="15" spans="1:16" ht="19.5" x14ac:dyDescent="0.25">
      <c r="A15" s="9">
        <v>14</v>
      </c>
      <c r="B15" s="9">
        <v>122</v>
      </c>
      <c r="C15" s="13" t="s">
        <v>141</v>
      </c>
      <c r="D15" s="14">
        <v>9649581467</v>
      </c>
      <c r="E15" s="9" t="s">
        <v>324</v>
      </c>
      <c r="F15" s="10">
        <v>33</v>
      </c>
      <c r="G15" s="10" t="s">
        <v>86</v>
      </c>
      <c r="H15" s="9">
        <v>8000626433</v>
      </c>
      <c r="I15" s="28">
        <v>625</v>
      </c>
      <c r="J15" s="30">
        <f>I15/15</f>
        <v>41.666666666666664</v>
      </c>
      <c r="K15" s="34">
        <f>(J15*4)-L15</f>
        <v>-5.3333333333333428</v>
      </c>
      <c r="L15" s="35">
        <v>172</v>
      </c>
      <c r="M15" s="23">
        <f>(L15/I15)*100</f>
        <v>27.52</v>
      </c>
      <c r="N15" s="35">
        <v>0</v>
      </c>
      <c r="O15" s="23">
        <f>(N15/I15)*100</f>
        <v>0</v>
      </c>
      <c r="P15" s="35">
        <v>0</v>
      </c>
    </row>
    <row r="16" spans="1:16" ht="19.5" x14ac:dyDescent="0.25">
      <c r="A16" s="9">
        <v>15</v>
      </c>
      <c r="B16" s="9">
        <v>125</v>
      </c>
      <c r="C16" s="13" t="s">
        <v>144</v>
      </c>
      <c r="D16" s="14">
        <v>9783259414</v>
      </c>
      <c r="E16" s="9" t="s">
        <v>324</v>
      </c>
      <c r="F16" s="10">
        <v>33</v>
      </c>
      <c r="G16" s="10" t="s">
        <v>86</v>
      </c>
      <c r="H16" s="9">
        <v>8000626433</v>
      </c>
      <c r="I16" s="28">
        <v>1076</v>
      </c>
      <c r="J16" s="30">
        <f>I16/15</f>
        <v>71.733333333333334</v>
      </c>
      <c r="K16" s="34">
        <f>(J16*4)-L16</f>
        <v>-38.066666666666663</v>
      </c>
      <c r="L16" s="35">
        <v>325</v>
      </c>
      <c r="M16" s="23">
        <f>(L16/I16)*100</f>
        <v>30.204460966542751</v>
      </c>
      <c r="N16" s="35">
        <v>0</v>
      </c>
      <c r="O16" s="23">
        <f>(N16/I16)*100</f>
        <v>0</v>
      </c>
      <c r="P16" s="35">
        <v>1</v>
      </c>
    </row>
    <row r="17" spans="1:16" ht="19.5" x14ac:dyDescent="0.25">
      <c r="A17" s="9">
        <v>16</v>
      </c>
      <c r="B17" s="9">
        <v>139</v>
      </c>
      <c r="C17" s="13" t="s">
        <v>158</v>
      </c>
      <c r="D17" s="14">
        <v>9680529241</v>
      </c>
      <c r="E17" s="9" t="s">
        <v>324</v>
      </c>
      <c r="F17" s="10">
        <v>31</v>
      </c>
      <c r="G17" s="10" t="s">
        <v>151</v>
      </c>
      <c r="H17" s="9">
        <v>7568675990</v>
      </c>
      <c r="I17" s="28">
        <v>1170</v>
      </c>
      <c r="J17" s="30">
        <f>I17/15</f>
        <v>78</v>
      </c>
      <c r="K17" s="34">
        <f>(J17*4)-L17</f>
        <v>-44</v>
      </c>
      <c r="L17" s="35">
        <v>356</v>
      </c>
      <c r="M17" s="23">
        <f>(L17/I17)*100</f>
        <v>30.427350427350426</v>
      </c>
      <c r="N17" s="35">
        <v>0</v>
      </c>
      <c r="O17" s="23">
        <f>(N17/I17)*100</f>
        <v>0</v>
      </c>
      <c r="P17" s="35">
        <v>0</v>
      </c>
    </row>
    <row r="18" spans="1:16" ht="19.5" x14ac:dyDescent="0.25">
      <c r="A18" s="9">
        <v>17</v>
      </c>
      <c r="B18" s="9">
        <v>140</v>
      </c>
      <c r="C18" s="13" t="s">
        <v>159</v>
      </c>
      <c r="D18" s="14">
        <v>9799813154</v>
      </c>
      <c r="E18" s="9" t="s">
        <v>324</v>
      </c>
      <c r="F18" s="10">
        <v>31</v>
      </c>
      <c r="G18" s="10" t="s">
        <v>151</v>
      </c>
      <c r="H18" s="9">
        <v>7568675990</v>
      </c>
      <c r="I18" s="28">
        <v>1208</v>
      </c>
      <c r="J18" s="30">
        <f>I18/15</f>
        <v>80.533333333333331</v>
      </c>
      <c r="K18" s="34">
        <f>(J18*4)-L18</f>
        <v>-77.866666666666674</v>
      </c>
      <c r="L18" s="35">
        <v>400</v>
      </c>
      <c r="M18" s="23">
        <f>(L18/I18)*100</f>
        <v>33.112582781456958</v>
      </c>
      <c r="N18" s="35">
        <v>0</v>
      </c>
      <c r="O18" s="23">
        <f>(N18/I18)*100</f>
        <v>0</v>
      </c>
      <c r="P18" s="35">
        <v>1</v>
      </c>
    </row>
    <row r="19" spans="1:16" ht="19.5" x14ac:dyDescent="0.25">
      <c r="A19" s="9">
        <v>18</v>
      </c>
      <c r="B19" s="9">
        <v>132</v>
      </c>
      <c r="C19" s="13" t="s">
        <v>152</v>
      </c>
      <c r="D19" s="14">
        <v>9929379058</v>
      </c>
      <c r="E19" s="9" t="s">
        <v>324</v>
      </c>
      <c r="F19" s="10">
        <v>31</v>
      </c>
      <c r="G19" s="10" t="s">
        <v>151</v>
      </c>
      <c r="H19" s="9">
        <v>7568675990</v>
      </c>
      <c r="I19" s="28">
        <v>990</v>
      </c>
      <c r="J19" s="30">
        <f>I19/15</f>
        <v>66</v>
      </c>
      <c r="K19" s="34">
        <f>(J19*4)-L19</f>
        <v>-73</v>
      </c>
      <c r="L19" s="35">
        <v>337</v>
      </c>
      <c r="M19" s="23">
        <f>(L19/I19)*100</f>
        <v>34.040404040404042</v>
      </c>
      <c r="N19" s="35">
        <v>0</v>
      </c>
      <c r="O19" s="23">
        <f>(N19/I19)*100</f>
        <v>0</v>
      </c>
      <c r="P19" s="35">
        <v>1</v>
      </c>
    </row>
    <row r="20" spans="1:16" ht="19.5" x14ac:dyDescent="0.25">
      <c r="A20" s="9">
        <v>19</v>
      </c>
      <c r="B20" s="9">
        <v>134</v>
      </c>
      <c r="C20" s="13" t="s">
        <v>154</v>
      </c>
      <c r="D20" s="14">
        <v>9929991803</v>
      </c>
      <c r="E20" s="9" t="s">
        <v>324</v>
      </c>
      <c r="F20" s="10">
        <v>31</v>
      </c>
      <c r="G20" s="10" t="s">
        <v>151</v>
      </c>
      <c r="H20" s="9">
        <v>7568675990</v>
      </c>
      <c r="I20" s="28">
        <v>1019</v>
      </c>
      <c r="J20" s="30">
        <f>I20/15</f>
        <v>67.933333333333337</v>
      </c>
      <c r="K20" s="34">
        <f>(J20*4)-L20</f>
        <v>-106.26666666666665</v>
      </c>
      <c r="L20" s="35">
        <v>378</v>
      </c>
      <c r="M20" s="23">
        <f>(L20/I20)*100</f>
        <v>37.095191364082439</v>
      </c>
      <c r="N20" s="35">
        <v>0</v>
      </c>
      <c r="O20" s="23">
        <f>(N20/I20)*100</f>
        <v>0</v>
      </c>
      <c r="P20" s="35">
        <v>1</v>
      </c>
    </row>
    <row r="21" spans="1:16" ht="19.5" x14ac:dyDescent="0.25">
      <c r="A21" s="9">
        <v>20</v>
      </c>
      <c r="B21" s="9">
        <v>133</v>
      </c>
      <c r="C21" s="13" t="s">
        <v>153</v>
      </c>
      <c r="D21" s="14">
        <v>9950699688</v>
      </c>
      <c r="E21" s="9" t="s">
        <v>324</v>
      </c>
      <c r="F21" s="10">
        <v>31</v>
      </c>
      <c r="G21" s="10" t="s">
        <v>151</v>
      </c>
      <c r="H21" s="9">
        <v>7568675990</v>
      </c>
      <c r="I21" s="28">
        <v>982</v>
      </c>
      <c r="J21" s="30">
        <f>I21/15</f>
        <v>65.466666666666669</v>
      </c>
      <c r="K21" s="34">
        <f>(J21*4)-L21</f>
        <v>-119.13333333333333</v>
      </c>
      <c r="L21" s="35">
        <v>381</v>
      </c>
      <c r="M21" s="23">
        <f>(L21/I21)*100</f>
        <v>38.798370672097761</v>
      </c>
      <c r="N21" s="35">
        <v>0</v>
      </c>
      <c r="O21" s="23">
        <f>(N21/I21)*100</f>
        <v>0</v>
      </c>
      <c r="P21" s="35">
        <v>1</v>
      </c>
    </row>
    <row r="22" spans="1:16" ht="19.5" x14ac:dyDescent="0.25">
      <c r="A22" s="9">
        <v>21</v>
      </c>
      <c r="B22" s="9">
        <v>130</v>
      </c>
      <c r="C22" s="13" t="s">
        <v>149</v>
      </c>
      <c r="D22" s="14">
        <v>7742221175</v>
      </c>
      <c r="E22" s="9" t="s">
        <v>324</v>
      </c>
      <c r="F22" s="10">
        <v>33</v>
      </c>
      <c r="G22" s="10" t="s">
        <v>86</v>
      </c>
      <c r="H22" s="9">
        <v>8000626433</v>
      </c>
      <c r="I22" s="28">
        <v>732</v>
      </c>
      <c r="J22" s="30">
        <f>I22/15</f>
        <v>48.8</v>
      </c>
      <c r="K22" s="34">
        <f>(J22*4)-L22</f>
        <v>-90.800000000000011</v>
      </c>
      <c r="L22" s="35">
        <v>286</v>
      </c>
      <c r="M22" s="23">
        <f>(L22/I22)*100</f>
        <v>39.071038251366119</v>
      </c>
      <c r="N22" s="35">
        <v>0</v>
      </c>
      <c r="O22" s="23">
        <f>(N22/I22)*100</f>
        <v>0</v>
      </c>
      <c r="P22" s="35">
        <v>1</v>
      </c>
    </row>
    <row r="23" spans="1:16" ht="19.5" x14ac:dyDescent="0.25">
      <c r="A23" s="9">
        <v>22</v>
      </c>
      <c r="B23" s="9">
        <v>131</v>
      </c>
      <c r="C23" s="13" t="s">
        <v>150</v>
      </c>
      <c r="D23" s="14">
        <v>9829897029</v>
      </c>
      <c r="E23" s="9" t="s">
        <v>324</v>
      </c>
      <c r="F23" s="10">
        <v>31</v>
      </c>
      <c r="G23" s="10" t="s">
        <v>151</v>
      </c>
      <c r="H23" s="9">
        <v>7568675990</v>
      </c>
      <c r="I23" s="28">
        <v>1061</v>
      </c>
      <c r="J23" s="30">
        <f>I23/15</f>
        <v>70.733333333333334</v>
      </c>
      <c r="K23" s="34">
        <f>(J23*4)-L23</f>
        <v>-244.06666666666666</v>
      </c>
      <c r="L23" s="35">
        <v>527</v>
      </c>
      <c r="M23" s="23">
        <f>(L23/I23)*100</f>
        <v>49.670122525918948</v>
      </c>
      <c r="N23" s="35">
        <v>0</v>
      </c>
      <c r="O23" s="23">
        <f>(N23/I23)*100</f>
        <v>0</v>
      </c>
      <c r="P23" s="35">
        <v>1</v>
      </c>
    </row>
    <row r="24" spans="1:16" ht="19.5" x14ac:dyDescent="0.25">
      <c r="A24" s="9">
        <v>23</v>
      </c>
      <c r="B24" s="9">
        <v>135</v>
      </c>
      <c r="C24" s="13" t="s">
        <v>42</v>
      </c>
      <c r="D24" s="14">
        <v>9660106381</v>
      </c>
      <c r="E24" s="9" t="s">
        <v>324</v>
      </c>
      <c r="F24" s="10">
        <v>33</v>
      </c>
      <c r="G24" s="10" t="s">
        <v>86</v>
      </c>
      <c r="H24" s="9">
        <v>8000626433</v>
      </c>
      <c r="I24" s="28">
        <v>478</v>
      </c>
      <c r="J24" s="30">
        <f>I24/15</f>
        <v>31.866666666666667</v>
      </c>
      <c r="K24" s="34">
        <f>(J24*4)-L24</f>
        <v>-328.5333333333333</v>
      </c>
      <c r="L24" s="35">
        <v>456</v>
      </c>
      <c r="M24" s="23">
        <f>(L24/I24)*100</f>
        <v>95.39748953974896</v>
      </c>
      <c r="N24" s="35">
        <v>0</v>
      </c>
      <c r="O24" s="23">
        <f>(N24/I24)*100</f>
        <v>0</v>
      </c>
      <c r="P24" s="35">
        <v>1</v>
      </c>
    </row>
    <row r="25" spans="1:16" ht="39" x14ac:dyDescent="0.25">
      <c r="A25" s="9">
        <v>24</v>
      </c>
      <c r="B25" s="9">
        <v>282</v>
      </c>
      <c r="C25" s="13" t="s">
        <v>305</v>
      </c>
      <c r="D25" s="14" t="s">
        <v>307</v>
      </c>
      <c r="E25" s="9" t="s">
        <v>327</v>
      </c>
      <c r="F25" s="10">
        <v>20</v>
      </c>
      <c r="G25" s="10" t="s">
        <v>286</v>
      </c>
      <c r="H25" s="9">
        <v>9929065309</v>
      </c>
      <c r="I25" s="28">
        <v>1220</v>
      </c>
      <c r="J25" s="30">
        <f>I25/15</f>
        <v>81.333333333333329</v>
      </c>
      <c r="K25" s="34">
        <f>(J25*4)-L25</f>
        <v>188.33333333333331</v>
      </c>
      <c r="L25" s="35">
        <v>137</v>
      </c>
      <c r="M25" s="23">
        <f>(L25/I25)*100</f>
        <v>11.229508196721312</v>
      </c>
      <c r="N25" s="35">
        <v>0</v>
      </c>
      <c r="O25" s="23">
        <f>(N25/I25)*100</f>
        <v>0</v>
      </c>
      <c r="P25" s="35">
        <v>0</v>
      </c>
    </row>
    <row r="26" spans="1:16" ht="19.5" x14ac:dyDescent="0.25">
      <c r="A26" s="9">
        <v>25</v>
      </c>
      <c r="B26" s="9">
        <v>278</v>
      </c>
      <c r="C26" s="13" t="s">
        <v>300</v>
      </c>
      <c r="D26" s="14">
        <v>9928371976</v>
      </c>
      <c r="E26" s="9" t="s">
        <v>327</v>
      </c>
      <c r="F26" s="10">
        <v>20</v>
      </c>
      <c r="G26" s="10" t="s">
        <v>286</v>
      </c>
      <c r="H26" s="9">
        <v>9929065309</v>
      </c>
      <c r="I26" s="28">
        <v>1274</v>
      </c>
      <c r="J26" s="30">
        <f>I26/15</f>
        <v>84.933333333333337</v>
      </c>
      <c r="K26" s="34">
        <f>(J26*4)-L26</f>
        <v>177.73333333333335</v>
      </c>
      <c r="L26" s="35">
        <v>162</v>
      </c>
      <c r="M26" s="23">
        <f>(L26/I26)*100</f>
        <v>12.71585557299843</v>
      </c>
      <c r="N26" s="35">
        <v>0</v>
      </c>
      <c r="O26" s="23">
        <f>(N26/I26)*100</f>
        <v>0</v>
      </c>
      <c r="P26" s="35">
        <v>1</v>
      </c>
    </row>
    <row r="27" spans="1:16" ht="19.5" x14ac:dyDescent="0.25">
      <c r="A27" s="9">
        <v>26</v>
      </c>
      <c r="B27" s="9">
        <v>295</v>
      </c>
      <c r="C27" s="13" t="s">
        <v>321</v>
      </c>
      <c r="D27" s="14">
        <v>7742350887</v>
      </c>
      <c r="E27" s="9" t="s">
        <v>327</v>
      </c>
      <c r="F27" s="10">
        <v>21</v>
      </c>
      <c r="G27" s="10" t="s">
        <v>295</v>
      </c>
      <c r="H27" s="9">
        <v>9571805971</v>
      </c>
      <c r="I27" s="28">
        <v>1246</v>
      </c>
      <c r="J27" s="30">
        <f>I27/15</f>
        <v>83.066666666666663</v>
      </c>
      <c r="K27" s="34">
        <f>(J27*4)-L27</f>
        <v>95.266666666666652</v>
      </c>
      <c r="L27" s="35">
        <v>237</v>
      </c>
      <c r="M27" s="23">
        <f>(L27/I27)*100</f>
        <v>19.020866773675763</v>
      </c>
      <c r="N27" s="35">
        <v>0</v>
      </c>
      <c r="O27" s="23">
        <f>(N27/I27)*100</f>
        <v>0</v>
      </c>
      <c r="P27" s="35">
        <v>1</v>
      </c>
    </row>
    <row r="28" spans="1:16" ht="19.5" x14ac:dyDescent="0.25">
      <c r="A28" s="9">
        <v>27</v>
      </c>
      <c r="B28" s="9">
        <v>290</v>
      </c>
      <c r="C28" s="13" t="s">
        <v>316</v>
      </c>
      <c r="D28" s="14">
        <v>9680529949</v>
      </c>
      <c r="E28" s="9" t="s">
        <v>327</v>
      </c>
      <c r="F28" s="10">
        <v>21</v>
      </c>
      <c r="G28" s="10" t="s">
        <v>295</v>
      </c>
      <c r="H28" s="9">
        <v>9571805971</v>
      </c>
      <c r="I28" s="28">
        <v>917</v>
      </c>
      <c r="J28" s="30">
        <f>I28/15</f>
        <v>61.133333333333333</v>
      </c>
      <c r="K28" s="34">
        <f>(J28*4)-L28</f>
        <v>68.533333333333331</v>
      </c>
      <c r="L28" s="35">
        <v>176</v>
      </c>
      <c r="M28" s="23">
        <f>(L28/I28)*100</f>
        <v>19.193020719738279</v>
      </c>
      <c r="N28" s="35">
        <v>0</v>
      </c>
      <c r="O28" s="23">
        <f>(N28/I28)*100</f>
        <v>0</v>
      </c>
      <c r="P28" s="35">
        <v>1</v>
      </c>
    </row>
    <row r="29" spans="1:16" ht="19.5" x14ac:dyDescent="0.25">
      <c r="A29" s="9">
        <v>28</v>
      </c>
      <c r="B29" s="9">
        <v>281</v>
      </c>
      <c r="C29" s="13" t="s">
        <v>303</v>
      </c>
      <c r="D29" s="14">
        <v>9929337761</v>
      </c>
      <c r="E29" s="9" t="s">
        <v>327</v>
      </c>
      <c r="F29" s="10">
        <v>20</v>
      </c>
      <c r="G29" s="10" t="s">
        <v>286</v>
      </c>
      <c r="H29" s="9">
        <v>9929065309</v>
      </c>
      <c r="I29" s="28">
        <v>972</v>
      </c>
      <c r="J29" s="30">
        <f>I29/15</f>
        <v>64.8</v>
      </c>
      <c r="K29" s="34">
        <f>(J29*4)-L29</f>
        <v>63.199999999999989</v>
      </c>
      <c r="L29" s="35">
        <v>196</v>
      </c>
      <c r="M29" s="23">
        <f>(L29/I29)*100</f>
        <v>20.164609053497941</v>
      </c>
      <c r="N29" s="35">
        <v>0</v>
      </c>
      <c r="O29" s="23">
        <f>(N29/I29)*100</f>
        <v>0</v>
      </c>
      <c r="P29" s="35">
        <v>1</v>
      </c>
    </row>
    <row r="30" spans="1:16" ht="19.5" x14ac:dyDescent="0.25">
      <c r="A30" s="9">
        <v>29</v>
      </c>
      <c r="B30" s="9">
        <v>293</v>
      </c>
      <c r="C30" s="13" t="s">
        <v>319</v>
      </c>
      <c r="D30" s="14">
        <v>9929283579</v>
      </c>
      <c r="E30" s="9" t="s">
        <v>327</v>
      </c>
      <c r="F30" s="10">
        <v>21</v>
      </c>
      <c r="G30" s="10" t="s">
        <v>295</v>
      </c>
      <c r="H30" s="9">
        <v>9571805971</v>
      </c>
      <c r="I30" s="28">
        <v>808</v>
      </c>
      <c r="J30" s="30">
        <f>I30/15</f>
        <v>53.866666666666667</v>
      </c>
      <c r="K30" s="34">
        <f>(J30*4)-L30</f>
        <v>46.466666666666669</v>
      </c>
      <c r="L30" s="35">
        <v>169</v>
      </c>
      <c r="M30" s="23">
        <f>(L30/I30)*100</f>
        <v>20.915841584158414</v>
      </c>
      <c r="N30" s="35">
        <v>0</v>
      </c>
      <c r="O30" s="23">
        <f>(N30/I30)*100</f>
        <v>0</v>
      </c>
      <c r="P30" s="35">
        <v>0</v>
      </c>
    </row>
    <row r="31" spans="1:16" ht="19.5" x14ac:dyDescent="0.25">
      <c r="A31" s="9">
        <v>30</v>
      </c>
      <c r="B31" s="9">
        <v>288</v>
      </c>
      <c r="C31" s="13" t="s">
        <v>314</v>
      </c>
      <c r="D31" s="14">
        <v>7742154647</v>
      </c>
      <c r="E31" s="9" t="s">
        <v>327</v>
      </c>
      <c r="F31" s="10">
        <v>20</v>
      </c>
      <c r="G31" s="10" t="s">
        <v>286</v>
      </c>
      <c r="H31" s="9">
        <v>9929065309</v>
      </c>
      <c r="I31" s="28">
        <v>904</v>
      </c>
      <c r="J31" s="30">
        <f>I31/15</f>
        <v>60.266666666666666</v>
      </c>
      <c r="K31" s="34">
        <f>(J31*4)-L31</f>
        <v>47.066666666666663</v>
      </c>
      <c r="L31" s="35">
        <v>194</v>
      </c>
      <c r="M31" s="23">
        <f>(L31/I31)*100</f>
        <v>21.460176991150444</v>
      </c>
      <c r="N31" s="35">
        <v>0</v>
      </c>
      <c r="O31" s="23">
        <f>(N31/I31)*100</f>
        <v>0</v>
      </c>
      <c r="P31" s="35">
        <v>1</v>
      </c>
    </row>
    <row r="32" spans="1:16" ht="19.5" x14ac:dyDescent="0.25">
      <c r="A32" s="9">
        <v>31</v>
      </c>
      <c r="B32" s="9">
        <v>273</v>
      </c>
      <c r="C32" s="13" t="s">
        <v>294</v>
      </c>
      <c r="D32" s="14">
        <v>9929279361</v>
      </c>
      <c r="E32" s="9" t="s">
        <v>327</v>
      </c>
      <c r="F32" s="10">
        <v>21</v>
      </c>
      <c r="G32" s="10" t="s">
        <v>295</v>
      </c>
      <c r="H32" s="9">
        <v>9571805971</v>
      </c>
      <c r="I32" s="28">
        <v>1026</v>
      </c>
      <c r="J32" s="30">
        <f>I32/15</f>
        <v>68.400000000000006</v>
      </c>
      <c r="K32" s="34">
        <f>(J32*4)-L32</f>
        <v>43.600000000000023</v>
      </c>
      <c r="L32" s="35">
        <v>230</v>
      </c>
      <c r="M32" s="23">
        <f>(L32/I32)*100</f>
        <v>22.417153996101362</v>
      </c>
      <c r="N32" s="35">
        <v>0</v>
      </c>
      <c r="O32" s="23">
        <f>(N32/I32)*100</f>
        <v>0</v>
      </c>
      <c r="P32" s="35">
        <v>1</v>
      </c>
    </row>
    <row r="33" spans="1:16" ht="19.5" x14ac:dyDescent="0.25">
      <c r="A33" s="9">
        <v>32</v>
      </c>
      <c r="B33" s="9">
        <v>296</v>
      </c>
      <c r="C33" s="13" t="s">
        <v>322</v>
      </c>
      <c r="D33" s="9"/>
      <c r="E33" s="9" t="s">
        <v>327</v>
      </c>
      <c r="F33" s="10">
        <v>21</v>
      </c>
      <c r="G33" s="10" t="s">
        <v>295</v>
      </c>
      <c r="H33" s="9">
        <v>9571805971</v>
      </c>
      <c r="I33" s="28">
        <v>1332</v>
      </c>
      <c r="J33" s="30">
        <f>I33/15</f>
        <v>88.8</v>
      </c>
      <c r="K33" s="34">
        <f>(J33*4)-L33</f>
        <v>41.199999999999989</v>
      </c>
      <c r="L33" s="35">
        <v>314</v>
      </c>
      <c r="M33" s="23">
        <f>(L33/I33)*100</f>
        <v>23.573573573573572</v>
      </c>
      <c r="N33" s="35">
        <v>0</v>
      </c>
      <c r="O33" s="23">
        <f>(N33/I33)*100</f>
        <v>0</v>
      </c>
      <c r="P33" s="35">
        <v>0</v>
      </c>
    </row>
    <row r="34" spans="1:16" ht="19.5" x14ac:dyDescent="0.25">
      <c r="A34" s="9">
        <v>33</v>
      </c>
      <c r="B34" s="9">
        <v>279</v>
      </c>
      <c r="C34" s="13" t="s">
        <v>301</v>
      </c>
      <c r="D34" s="14">
        <v>9636915674</v>
      </c>
      <c r="E34" s="9" t="s">
        <v>327</v>
      </c>
      <c r="F34" s="10">
        <v>20</v>
      </c>
      <c r="G34" s="10" t="s">
        <v>286</v>
      </c>
      <c r="H34" s="9">
        <v>9929065309</v>
      </c>
      <c r="I34" s="28">
        <v>921</v>
      </c>
      <c r="J34" s="30">
        <f>I34/15</f>
        <v>61.4</v>
      </c>
      <c r="K34" s="34">
        <f>(J34*4)-L34</f>
        <v>20.599999999999994</v>
      </c>
      <c r="L34" s="35">
        <v>225</v>
      </c>
      <c r="M34" s="23">
        <f>(L34/I34)*100</f>
        <v>24.429967426710096</v>
      </c>
      <c r="N34" s="35">
        <v>0</v>
      </c>
      <c r="O34" s="23">
        <f>(N34/I34)*100</f>
        <v>0</v>
      </c>
      <c r="P34" s="35">
        <v>1</v>
      </c>
    </row>
    <row r="35" spans="1:16" ht="19.5" x14ac:dyDescent="0.25">
      <c r="A35" s="9">
        <v>34</v>
      </c>
      <c r="B35" s="9">
        <v>283</v>
      </c>
      <c r="C35" s="13" t="s">
        <v>306</v>
      </c>
      <c r="D35" s="14">
        <v>8107452360</v>
      </c>
      <c r="E35" s="9" t="s">
        <v>327</v>
      </c>
      <c r="F35" s="10">
        <v>20</v>
      </c>
      <c r="G35" s="10" t="s">
        <v>286</v>
      </c>
      <c r="H35" s="9">
        <v>9929065309</v>
      </c>
      <c r="I35" s="28">
        <v>672</v>
      </c>
      <c r="J35" s="30">
        <f>I35/15</f>
        <v>44.8</v>
      </c>
      <c r="K35" s="34">
        <f>(J35*4)-L35</f>
        <v>12.199999999999989</v>
      </c>
      <c r="L35" s="35">
        <v>167</v>
      </c>
      <c r="M35" s="23">
        <f>(L35/I35)*100</f>
        <v>24.851190476190478</v>
      </c>
      <c r="N35" s="35">
        <v>0</v>
      </c>
      <c r="O35" s="23">
        <f>(N35/I35)*100</f>
        <v>0</v>
      </c>
      <c r="P35" s="35">
        <v>1</v>
      </c>
    </row>
    <row r="36" spans="1:16" ht="19.5" x14ac:dyDescent="0.25">
      <c r="A36" s="9">
        <v>35</v>
      </c>
      <c r="B36" s="9">
        <v>289</v>
      </c>
      <c r="C36" s="13" t="s">
        <v>315</v>
      </c>
      <c r="D36" s="9">
        <v>9828437632</v>
      </c>
      <c r="E36" s="9" t="s">
        <v>327</v>
      </c>
      <c r="F36" s="10">
        <v>21</v>
      </c>
      <c r="G36" s="10" t="s">
        <v>295</v>
      </c>
      <c r="H36" s="9">
        <v>9571805971</v>
      </c>
      <c r="I36" s="28">
        <v>700</v>
      </c>
      <c r="J36" s="30">
        <f>I36/15</f>
        <v>46.666666666666664</v>
      </c>
      <c r="K36" s="34">
        <f>(J36*4)-L36</f>
        <v>6.6666666666666572</v>
      </c>
      <c r="L36" s="35">
        <v>180</v>
      </c>
      <c r="M36" s="23">
        <f>(L36/I36)*100</f>
        <v>25.714285714285712</v>
      </c>
      <c r="N36" s="35">
        <v>0</v>
      </c>
      <c r="O36" s="23">
        <f>(N36/I36)*100</f>
        <v>0</v>
      </c>
      <c r="P36" s="35">
        <v>1</v>
      </c>
    </row>
    <row r="37" spans="1:16" ht="19.5" x14ac:dyDescent="0.25">
      <c r="A37" s="9">
        <v>36</v>
      </c>
      <c r="B37" s="9">
        <v>261</v>
      </c>
      <c r="C37" s="13" t="s">
        <v>10</v>
      </c>
      <c r="D37" s="14">
        <v>9602162613</v>
      </c>
      <c r="E37" s="9" t="s">
        <v>327</v>
      </c>
      <c r="F37" s="10">
        <v>20</v>
      </c>
      <c r="G37" s="10" t="s">
        <v>286</v>
      </c>
      <c r="H37" s="9">
        <v>9929065309</v>
      </c>
      <c r="I37" s="28">
        <v>743</v>
      </c>
      <c r="J37" s="30">
        <f>I37/15</f>
        <v>49.533333333333331</v>
      </c>
      <c r="K37" s="34">
        <f>(J37*4)-L37</f>
        <v>6.1333333333333258</v>
      </c>
      <c r="L37" s="35">
        <v>192</v>
      </c>
      <c r="M37" s="23">
        <f>(L37/I37)*100</f>
        <v>25.841184387617766</v>
      </c>
      <c r="N37" s="35">
        <v>0</v>
      </c>
      <c r="O37" s="23">
        <f>(N37/I37)*100</f>
        <v>0</v>
      </c>
      <c r="P37" s="35">
        <v>1</v>
      </c>
    </row>
    <row r="38" spans="1:16" ht="19.5" x14ac:dyDescent="0.25">
      <c r="A38" s="9">
        <v>37</v>
      </c>
      <c r="B38" s="9">
        <v>262</v>
      </c>
      <c r="C38" s="13" t="s">
        <v>287</v>
      </c>
      <c r="D38" s="14">
        <v>9602160955</v>
      </c>
      <c r="E38" s="9" t="s">
        <v>327</v>
      </c>
      <c r="F38" s="10">
        <v>20</v>
      </c>
      <c r="G38" s="10" t="s">
        <v>286</v>
      </c>
      <c r="H38" s="9">
        <v>9929065309</v>
      </c>
      <c r="I38" s="28">
        <v>939</v>
      </c>
      <c r="J38" s="30">
        <f>I38/15</f>
        <v>62.6</v>
      </c>
      <c r="K38" s="34">
        <f>(J38*4)-L38</f>
        <v>2.4000000000000057</v>
      </c>
      <c r="L38" s="35">
        <v>248</v>
      </c>
      <c r="M38" s="23">
        <f>(L38/I38)*100</f>
        <v>26.411075612353567</v>
      </c>
      <c r="N38" s="35">
        <v>0</v>
      </c>
      <c r="O38" s="23">
        <f>(N38/I38)*100</f>
        <v>0</v>
      </c>
      <c r="P38" s="35">
        <v>1</v>
      </c>
    </row>
    <row r="39" spans="1:16" ht="39" x14ac:dyDescent="0.25">
      <c r="A39" s="9">
        <v>38</v>
      </c>
      <c r="B39" s="9">
        <v>280</v>
      </c>
      <c r="C39" s="13" t="s">
        <v>302</v>
      </c>
      <c r="D39" s="14" t="s">
        <v>304</v>
      </c>
      <c r="E39" s="9" t="s">
        <v>327</v>
      </c>
      <c r="F39" s="10">
        <v>20</v>
      </c>
      <c r="G39" s="10" t="s">
        <v>286</v>
      </c>
      <c r="H39" s="9">
        <v>9929065309</v>
      </c>
      <c r="I39" s="28">
        <v>731</v>
      </c>
      <c r="J39" s="30">
        <f>I39/15</f>
        <v>48.733333333333334</v>
      </c>
      <c r="K39" s="34">
        <f>(J39*4)-L39</f>
        <v>-9.0666666666666629</v>
      </c>
      <c r="L39" s="35">
        <v>204</v>
      </c>
      <c r="M39" s="23">
        <f>(L39/I39)*100</f>
        <v>27.906976744186046</v>
      </c>
      <c r="N39" s="35">
        <v>0</v>
      </c>
      <c r="O39" s="23">
        <f>(N39/I39)*100</f>
        <v>0</v>
      </c>
      <c r="P39" s="35">
        <v>1</v>
      </c>
    </row>
    <row r="40" spans="1:16" ht="19.5" x14ac:dyDescent="0.25">
      <c r="A40" s="9">
        <v>39</v>
      </c>
      <c r="B40" s="9">
        <v>291</v>
      </c>
      <c r="C40" s="13" t="s">
        <v>317</v>
      </c>
      <c r="D40" s="14">
        <v>6350583435</v>
      </c>
      <c r="E40" s="9" t="s">
        <v>327</v>
      </c>
      <c r="F40" s="10">
        <v>21</v>
      </c>
      <c r="G40" s="10" t="s">
        <v>295</v>
      </c>
      <c r="H40" s="9">
        <v>9571805971</v>
      </c>
      <c r="I40" s="28">
        <v>758</v>
      </c>
      <c r="J40" s="30">
        <f>I40/15</f>
        <v>50.533333333333331</v>
      </c>
      <c r="K40" s="34">
        <f>(J40*4)-L40</f>
        <v>-12.866666666666674</v>
      </c>
      <c r="L40" s="35">
        <v>215</v>
      </c>
      <c r="M40" s="23">
        <f>(L40/I40)*100</f>
        <v>28.364116094986809</v>
      </c>
      <c r="N40" s="35">
        <v>0</v>
      </c>
      <c r="O40" s="23">
        <f>(N40/I40)*100</f>
        <v>0</v>
      </c>
      <c r="P40" s="35">
        <v>1</v>
      </c>
    </row>
    <row r="41" spans="1:16" ht="19.5" x14ac:dyDescent="0.25">
      <c r="A41" s="9">
        <v>40</v>
      </c>
      <c r="B41" s="9">
        <v>263</v>
      </c>
      <c r="C41" s="13" t="s">
        <v>288</v>
      </c>
      <c r="D41" s="15">
        <v>9982653275</v>
      </c>
      <c r="E41" s="9" t="s">
        <v>327</v>
      </c>
      <c r="F41" s="10">
        <v>20</v>
      </c>
      <c r="G41" s="10" t="s">
        <v>286</v>
      </c>
      <c r="H41" s="9">
        <v>9929065309</v>
      </c>
      <c r="I41" s="28">
        <v>791</v>
      </c>
      <c r="J41" s="30">
        <f>I41/15</f>
        <v>52.733333333333334</v>
      </c>
      <c r="K41" s="34">
        <f>(J41*4)-L41</f>
        <v>-62.066666666666663</v>
      </c>
      <c r="L41" s="35">
        <v>273</v>
      </c>
      <c r="M41" s="23">
        <f>(L41/I41)*100</f>
        <v>34.513274336283182</v>
      </c>
      <c r="N41" s="35">
        <v>0</v>
      </c>
      <c r="O41" s="23">
        <f>(N41/I41)*100</f>
        <v>0</v>
      </c>
      <c r="P41" s="35">
        <v>1</v>
      </c>
    </row>
    <row r="42" spans="1:16" ht="19.5" x14ac:dyDescent="0.25">
      <c r="A42" s="9">
        <v>41</v>
      </c>
      <c r="B42" s="9">
        <v>294</v>
      </c>
      <c r="C42" s="13" t="s">
        <v>320</v>
      </c>
      <c r="D42" s="14">
        <v>9829450578</v>
      </c>
      <c r="E42" s="9" t="s">
        <v>327</v>
      </c>
      <c r="F42" s="10">
        <v>21</v>
      </c>
      <c r="G42" s="10" t="s">
        <v>295</v>
      </c>
      <c r="H42" s="9">
        <v>9571805971</v>
      </c>
      <c r="I42" s="28">
        <v>1270</v>
      </c>
      <c r="J42" s="30">
        <f>I42/15</f>
        <v>84.666666666666671</v>
      </c>
      <c r="K42" s="34">
        <f>(J42*4)-L42</f>
        <v>-121.33333333333331</v>
      </c>
      <c r="L42" s="35">
        <v>460</v>
      </c>
      <c r="M42" s="23">
        <f>(L42/I42)*100</f>
        <v>36.220472440944881</v>
      </c>
      <c r="N42" s="35">
        <v>1</v>
      </c>
      <c r="O42" s="23">
        <f>(N42/I42)*100</f>
        <v>7.874015748031496E-2</v>
      </c>
      <c r="P42" s="35">
        <v>1</v>
      </c>
    </row>
    <row r="43" spans="1:16" ht="19.5" x14ac:dyDescent="0.25">
      <c r="A43" s="9">
        <v>42</v>
      </c>
      <c r="B43" s="9">
        <v>292</v>
      </c>
      <c r="C43" s="13" t="s">
        <v>318</v>
      </c>
      <c r="D43" s="14">
        <v>9829278663</v>
      </c>
      <c r="E43" s="9" t="s">
        <v>327</v>
      </c>
      <c r="F43" s="10">
        <v>21</v>
      </c>
      <c r="G43" s="10" t="s">
        <v>295</v>
      </c>
      <c r="H43" s="9">
        <v>9571805971</v>
      </c>
      <c r="I43" s="28">
        <v>847</v>
      </c>
      <c r="J43" s="30">
        <f>I43/15</f>
        <v>56.466666666666669</v>
      </c>
      <c r="K43" s="34">
        <f>(J43*4)-L43</f>
        <v>-96.133333333333326</v>
      </c>
      <c r="L43" s="35">
        <v>322</v>
      </c>
      <c r="M43" s="23">
        <f>(L43/I43)*100</f>
        <v>38.016528925619838</v>
      </c>
      <c r="N43" s="35">
        <v>0</v>
      </c>
      <c r="O43" s="23">
        <f>(N43/I43)*100</f>
        <v>0</v>
      </c>
      <c r="P43" s="35">
        <v>1</v>
      </c>
    </row>
    <row r="44" spans="1:16" ht="19.5" x14ac:dyDescent="0.25">
      <c r="A44" s="9">
        <v>43</v>
      </c>
      <c r="B44" s="9">
        <v>274</v>
      </c>
      <c r="C44" s="20" t="s">
        <v>296</v>
      </c>
      <c r="D44" s="14">
        <v>9799849500</v>
      </c>
      <c r="E44" s="9" t="s">
        <v>327</v>
      </c>
      <c r="F44" s="10">
        <v>21</v>
      </c>
      <c r="G44" s="10" t="s">
        <v>295</v>
      </c>
      <c r="H44" s="9">
        <v>9571805971</v>
      </c>
      <c r="I44" s="28">
        <v>556</v>
      </c>
      <c r="J44" s="30">
        <f>I44/15</f>
        <v>37.06666666666667</v>
      </c>
      <c r="K44" s="34">
        <f>(J44*4)-L44</f>
        <v>-136.73333333333332</v>
      </c>
      <c r="L44" s="35">
        <v>285</v>
      </c>
      <c r="M44" s="23">
        <f>(L44/I44)*100</f>
        <v>51.258992805755398</v>
      </c>
      <c r="N44" s="35">
        <v>0</v>
      </c>
      <c r="O44" s="23">
        <f>(N44/I44)*100</f>
        <v>0</v>
      </c>
      <c r="P44" s="35">
        <v>1</v>
      </c>
    </row>
    <row r="45" spans="1:16" ht="19.5" x14ac:dyDescent="0.25">
      <c r="A45" s="9">
        <v>44</v>
      </c>
      <c r="B45" s="9">
        <v>219</v>
      </c>
      <c r="C45" s="13" t="s">
        <v>243</v>
      </c>
      <c r="D45" s="14">
        <v>9950931619</v>
      </c>
      <c r="E45" s="9" t="s">
        <v>326</v>
      </c>
      <c r="F45" s="10">
        <v>27</v>
      </c>
      <c r="G45" s="10" t="s">
        <v>244</v>
      </c>
      <c r="H45" s="9">
        <v>9549455951</v>
      </c>
      <c r="I45" s="28">
        <v>1129</v>
      </c>
      <c r="J45" s="30">
        <f>I45/15</f>
        <v>75.266666666666666</v>
      </c>
      <c r="K45" s="34">
        <f>(J45*4)-L45</f>
        <v>212.06666666666666</v>
      </c>
      <c r="L45" s="35">
        <v>89</v>
      </c>
      <c r="M45" s="23">
        <f>(L45/I45)*100</f>
        <v>7.8830823737821074</v>
      </c>
      <c r="N45" s="35">
        <v>0</v>
      </c>
      <c r="O45" s="23">
        <f>(N45/I45)*100</f>
        <v>0</v>
      </c>
      <c r="P45" s="35">
        <v>1</v>
      </c>
    </row>
    <row r="46" spans="1:16" ht="19.5" x14ac:dyDescent="0.25">
      <c r="A46" s="9">
        <v>45</v>
      </c>
      <c r="B46" s="9">
        <v>220</v>
      </c>
      <c r="C46" s="13" t="s">
        <v>245</v>
      </c>
      <c r="D46" s="14">
        <v>9530469700</v>
      </c>
      <c r="E46" s="9" t="s">
        <v>326</v>
      </c>
      <c r="F46" s="10">
        <v>27</v>
      </c>
      <c r="G46" s="10" t="s">
        <v>244</v>
      </c>
      <c r="H46" s="9">
        <v>9549455951</v>
      </c>
      <c r="I46" s="28">
        <v>1157</v>
      </c>
      <c r="J46" s="30">
        <f>I46/15</f>
        <v>77.13333333333334</v>
      </c>
      <c r="K46" s="34">
        <f>(J46*4)-L46</f>
        <v>161.53333333333336</v>
      </c>
      <c r="L46" s="35">
        <v>147</v>
      </c>
      <c r="M46" s="23">
        <f>(L46/I46)*100</f>
        <v>12.705272255834055</v>
      </c>
      <c r="N46" s="35">
        <v>0</v>
      </c>
      <c r="O46" s="23">
        <f>(N46/I46)*100</f>
        <v>0</v>
      </c>
      <c r="P46" s="35">
        <v>0</v>
      </c>
    </row>
    <row r="47" spans="1:16" ht="19.5" x14ac:dyDescent="0.25">
      <c r="A47" s="9">
        <v>46</v>
      </c>
      <c r="B47" s="9">
        <v>257</v>
      </c>
      <c r="C47" s="13" t="s">
        <v>282</v>
      </c>
      <c r="D47" s="14">
        <v>9783093816</v>
      </c>
      <c r="E47" s="9" t="s">
        <v>326</v>
      </c>
      <c r="F47" s="10">
        <v>27</v>
      </c>
      <c r="G47" s="10" t="s">
        <v>244</v>
      </c>
      <c r="H47" s="9">
        <v>9549455951</v>
      </c>
      <c r="I47" s="28">
        <v>729</v>
      </c>
      <c r="J47" s="30">
        <f>I47/15</f>
        <v>48.6</v>
      </c>
      <c r="K47" s="34">
        <f>(J47*4)-L47</f>
        <v>76.400000000000006</v>
      </c>
      <c r="L47" s="35">
        <v>118</v>
      </c>
      <c r="M47" s="23">
        <f>(L47/I47)*100</f>
        <v>16.186556927297669</v>
      </c>
      <c r="N47" s="35">
        <v>0</v>
      </c>
      <c r="O47" s="23">
        <f>(N47/I47)*100</f>
        <v>0</v>
      </c>
      <c r="P47" s="35">
        <v>1</v>
      </c>
    </row>
    <row r="48" spans="1:16" ht="19.5" x14ac:dyDescent="0.25">
      <c r="A48" s="9">
        <v>47</v>
      </c>
      <c r="B48" s="9">
        <v>236</v>
      </c>
      <c r="C48" s="13" t="s">
        <v>262</v>
      </c>
      <c r="D48" s="14">
        <v>9950539393</v>
      </c>
      <c r="E48" s="9" t="s">
        <v>326</v>
      </c>
      <c r="F48" s="10">
        <v>27</v>
      </c>
      <c r="G48" s="10" t="s">
        <v>244</v>
      </c>
      <c r="H48" s="9">
        <v>9549455951</v>
      </c>
      <c r="I48" s="28">
        <v>888</v>
      </c>
      <c r="J48" s="30">
        <f>I48/15</f>
        <v>59.2</v>
      </c>
      <c r="K48" s="34">
        <f>(J48*4)-L48</f>
        <v>91.800000000000011</v>
      </c>
      <c r="L48" s="35">
        <v>145</v>
      </c>
      <c r="M48" s="23">
        <f>(L48/I48)*100</f>
        <v>16.328828828828829</v>
      </c>
      <c r="N48" s="35">
        <v>0</v>
      </c>
      <c r="O48" s="23">
        <f>(N48/I48)*100</f>
        <v>0</v>
      </c>
      <c r="P48" s="35">
        <v>1</v>
      </c>
    </row>
    <row r="49" spans="1:16" ht="19.5" x14ac:dyDescent="0.25">
      <c r="A49" s="9">
        <v>48</v>
      </c>
      <c r="B49" s="9">
        <v>238</v>
      </c>
      <c r="C49" s="13" t="s">
        <v>264</v>
      </c>
      <c r="D49" s="14">
        <v>9982589606</v>
      </c>
      <c r="E49" s="9" t="s">
        <v>326</v>
      </c>
      <c r="F49" s="10">
        <v>27</v>
      </c>
      <c r="G49" s="10" t="s">
        <v>244</v>
      </c>
      <c r="H49" s="9">
        <v>9549455951</v>
      </c>
      <c r="I49" s="28">
        <v>899</v>
      </c>
      <c r="J49" s="30">
        <f>I49/15</f>
        <v>59.93333333333333</v>
      </c>
      <c r="K49" s="34">
        <f>(J49*4)-L49</f>
        <v>86.73333333333332</v>
      </c>
      <c r="L49" s="35">
        <v>153</v>
      </c>
      <c r="M49" s="23">
        <f>(L49/I49)*100</f>
        <v>17.018909899888765</v>
      </c>
      <c r="N49" s="35">
        <v>0</v>
      </c>
      <c r="O49" s="23">
        <f>(N49/I49)*100</f>
        <v>0</v>
      </c>
      <c r="P49" s="35">
        <v>1</v>
      </c>
    </row>
    <row r="50" spans="1:16" ht="19.5" x14ac:dyDescent="0.25">
      <c r="A50" s="9">
        <v>49</v>
      </c>
      <c r="B50" s="9">
        <v>226</v>
      </c>
      <c r="C50" s="13" t="s">
        <v>251</v>
      </c>
      <c r="D50" s="14">
        <v>9784143743</v>
      </c>
      <c r="E50" s="9" t="s">
        <v>326</v>
      </c>
      <c r="F50" s="10">
        <v>24</v>
      </c>
      <c r="G50" s="10" t="s">
        <v>169</v>
      </c>
      <c r="H50" s="9">
        <v>9001141491</v>
      </c>
      <c r="I50" s="28">
        <v>1183</v>
      </c>
      <c r="J50" s="30">
        <f>I50/15</f>
        <v>78.86666666666666</v>
      </c>
      <c r="K50" s="34">
        <f>(J50*4)-L50</f>
        <v>105.46666666666664</v>
      </c>
      <c r="L50" s="35">
        <v>210</v>
      </c>
      <c r="M50" s="23">
        <f>(L50/I50)*100</f>
        <v>17.751479289940828</v>
      </c>
      <c r="N50" s="35">
        <v>1</v>
      </c>
      <c r="O50" s="23">
        <f>(N50/I50)*100</f>
        <v>8.453085376162299E-2</v>
      </c>
      <c r="P50" s="35">
        <v>1</v>
      </c>
    </row>
    <row r="51" spans="1:16" ht="19.5" x14ac:dyDescent="0.25">
      <c r="A51" s="9">
        <v>50</v>
      </c>
      <c r="B51" s="9">
        <v>227</v>
      </c>
      <c r="C51" s="13" t="s">
        <v>253</v>
      </c>
      <c r="D51" s="14">
        <v>9784845522</v>
      </c>
      <c r="E51" s="9" t="s">
        <v>326</v>
      </c>
      <c r="F51" s="10">
        <v>24</v>
      </c>
      <c r="G51" s="10" t="s">
        <v>169</v>
      </c>
      <c r="H51" s="9">
        <v>9001141491</v>
      </c>
      <c r="I51" s="28">
        <v>1330</v>
      </c>
      <c r="J51" s="30">
        <f>I51/15</f>
        <v>88.666666666666671</v>
      </c>
      <c r="K51" s="34">
        <f>(J51*4)-L51</f>
        <v>112.66666666666669</v>
      </c>
      <c r="L51" s="35">
        <v>242</v>
      </c>
      <c r="M51" s="23">
        <f>(L51/I51)*100</f>
        <v>18.195488721804512</v>
      </c>
      <c r="N51" s="35">
        <v>0</v>
      </c>
      <c r="O51" s="23">
        <f>(N51/I51)*100</f>
        <v>0</v>
      </c>
      <c r="P51" s="35">
        <v>1</v>
      </c>
    </row>
    <row r="52" spans="1:16" ht="19.5" x14ac:dyDescent="0.25">
      <c r="A52" s="9">
        <v>51</v>
      </c>
      <c r="B52" s="9">
        <v>224</v>
      </c>
      <c r="C52" s="13" t="s">
        <v>249</v>
      </c>
      <c r="D52" s="14">
        <v>9694921043</v>
      </c>
      <c r="E52" s="9" t="s">
        <v>326</v>
      </c>
      <c r="F52" s="10">
        <v>24</v>
      </c>
      <c r="G52" s="10" t="s">
        <v>169</v>
      </c>
      <c r="H52" s="9">
        <v>9001141491</v>
      </c>
      <c r="I52" s="28">
        <v>1234</v>
      </c>
      <c r="J52" s="30">
        <f>I52/15</f>
        <v>82.266666666666666</v>
      </c>
      <c r="K52" s="34">
        <f>(J52*4)-L52</f>
        <v>97.066666666666663</v>
      </c>
      <c r="L52" s="35">
        <v>232</v>
      </c>
      <c r="M52" s="23">
        <f>(L52/I52)*100</f>
        <v>18.80064829821718</v>
      </c>
      <c r="N52" s="35">
        <v>0</v>
      </c>
      <c r="O52" s="23">
        <f>(N52/I52)*100</f>
        <v>0</v>
      </c>
      <c r="P52" s="35">
        <v>1</v>
      </c>
    </row>
    <row r="53" spans="1:16" ht="19.5" x14ac:dyDescent="0.25">
      <c r="A53" s="9">
        <v>52</v>
      </c>
      <c r="B53" s="9">
        <v>237</v>
      </c>
      <c r="C53" s="13" t="s">
        <v>263</v>
      </c>
      <c r="D53" s="14">
        <v>8107085578</v>
      </c>
      <c r="E53" s="9" t="s">
        <v>326</v>
      </c>
      <c r="F53" s="10">
        <v>27</v>
      </c>
      <c r="G53" s="10" t="s">
        <v>244</v>
      </c>
      <c r="H53" s="9">
        <v>9549455951</v>
      </c>
      <c r="I53" s="28">
        <v>1178</v>
      </c>
      <c r="J53" s="30">
        <f>I53/15</f>
        <v>78.533333333333331</v>
      </c>
      <c r="K53" s="34">
        <f>(J53*4)-L53</f>
        <v>92.133333333333326</v>
      </c>
      <c r="L53" s="35">
        <v>222</v>
      </c>
      <c r="M53" s="23">
        <f>(L53/I53)*100</f>
        <v>18.845500848896435</v>
      </c>
      <c r="N53" s="35">
        <v>0</v>
      </c>
      <c r="O53" s="23">
        <f>(N53/I53)*100</f>
        <v>0</v>
      </c>
      <c r="P53" s="35">
        <v>1</v>
      </c>
    </row>
    <row r="54" spans="1:16" ht="39" x14ac:dyDescent="0.25">
      <c r="A54" s="9">
        <v>53</v>
      </c>
      <c r="B54" s="9">
        <v>234</v>
      </c>
      <c r="C54" s="13" t="s">
        <v>259</v>
      </c>
      <c r="D54" s="14" t="s">
        <v>261</v>
      </c>
      <c r="E54" s="9" t="s">
        <v>326</v>
      </c>
      <c r="F54" s="10">
        <v>27</v>
      </c>
      <c r="G54" s="10" t="s">
        <v>244</v>
      </c>
      <c r="H54" s="9">
        <v>9549455951</v>
      </c>
      <c r="I54" s="28">
        <v>1211</v>
      </c>
      <c r="J54" s="30">
        <f>I54/15</f>
        <v>80.733333333333334</v>
      </c>
      <c r="K54" s="34">
        <f>(J54*4)-L54</f>
        <v>73.933333333333337</v>
      </c>
      <c r="L54" s="35">
        <v>249</v>
      </c>
      <c r="M54" s="23">
        <f>(L54/I54)*100</f>
        <v>20.561519405450042</v>
      </c>
      <c r="N54" s="35">
        <v>0</v>
      </c>
      <c r="O54" s="23">
        <f>(N54/I54)*100</f>
        <v>0</v>
      </c>
      <c r="P54" s="35">
        <v>1</v>
      </c>
    </row>
    <row r="55" spans="1:16" ht="19.5" x14ac:dyDescent="0.25">
      <c r="A55" s="9">
        <v>54</v>
      </c>
      <c r="B55" s="9">
        <v>222</v>
      </c>
      <c r="C55" s="13" t="s">
        <v>247</v>
      </c>
      <c r="D55" s="14">
        <v>8442077203</v>
      </c>
      <c r="E55" s="9" t="s">
        <v>326</v>
      </c>
      <c r="F55" s="10">
        <v>24</v>
      </c>
      <c r="G55" s="10" t="s">
        <v>169</v>
      </c>
      <c r="H55" s="9">
        <v>9001141491</v>
      </c>
      <c r="I55" s="28">
        <v>1206</v>
      </c>
      <c r="J55" s="30">
        <f>I55/15</f>
        <v>80.400000000000006</v>
      </c>
      <c r="K55" s="34">
        <f>(J55*4)-L55</f>
        <v>68.600000000000023</v>
      </c>
      <c r="L55" s="35">
        <v>253</v>
      </c>
      <c r="M55" s="23">
        <f>(L55/I55)*100</f>
        <v>20.978441127694857</v>
      </c>
      <c r="N55" s="35">
        <v>0</v>
      </c>
      <c r="O55" s="23">
        <f>(N55/I55)*100</f>
        <v>0</v>
      </c>
      <c r="P55" s="35">
        <v>1</v>
      </c>
    </row>
    <row r="56" spans="1:16" ht="19.5" x14ac:dyDescent="0.25">
      <c r="A56" s="9">
        <v>55</v>
      </c>
      <c r="B56" s="9">
        <v>223</v>
      </c>
      <c r="C56" s="13" t="s">
        <v>248</v>
      </c>
      <c r="D56" s="14">
        <v>9829506612</v>
      </c>
      <c r="E56" s="9" t="s">
        <v>326</v>
      </c>
      <c r="F56" s="10">
        <v>24</v>
      </c>
      <c r="G56" s="10" t="s">
        <v>169</v>
      </c>
      <c r="H56" s="9">
        <v>9001141491</v>
      </c>
      <c r="I56" s="28">
        <v>1192</v>
      </c>
      <c r="J56" s="30">
        <f>I56/15</f>
        <v>79.466666666666669</v>
      </c>
      <c r="K56" s="34">
        <f>(J56*4)-L56</f>
        <v>63.866666666666674</v>
      </c>
      <c r="L56" s="35">
        <v>254</v>
      </c>
      <c r="M56" s="23">
        <f>(L56/I56)*100</f>
        <v>21.308724832214764</v>
      </c>
      <c r="N56" s="35">
        <v>0</v>
      </c>
      <c r="O56" s="23">
        <f>(N56/I56)*100</f>
        <v>0</v>
      </c>
      <c r="P56" s="35">
        <v>1</v>
      </c>
    </row>
    <row r="57" spans="1:16" ht="19.5" x14ac:dyDescent="0.25">
      <c r="A57" s="9">
        <v>56</v>
      </c>
      <c r="B57" s="9">
        <v>221</v>
      </c>
      <c r="C57" s="13" t="s">
        <v>246</v>
      </c>
      <c r="D57" s="14">
        <v>9828938894</v>
      </c>
      <c r="E57" s="9" t="s">
        <v>326</v>
      </c>
      <c r="F57" s="10">
        <v>24</v>
      </c>
      <c r="G57" s="10" t="s">
        <v>169</v>
      </c>
      <c r="H57" s="9">
        <v>9001141491</v>
      </c>
      <c r="I57" s="28">
        <v>1117</v>
      </c>
      <c r="J57" s="30">
        <f>I57/15</f>
        <v>74.466666666666669</v>
      </c>
      <c r="K57" s="34">
        <f>(J57*4)-L57</f>
        <v>40.866666666666674</v>
      </c>
      <c r="L57" s="35">
        <v>257</v>
      </c>
      <c r="M57" s="23">
        <f>(L57/I57)*100</f>
        <v>23.008057296329454</v>
      </c>
      <c r="N57" s="35">
        <v>1</v>
      </c>
      <c r="O57" s="23">
        <f>(N57/I57)*100</f>
        <v>8.9525514771709933E-2</v>
      </c>
      <c r="P57" s="35">
        <v>1</v>
      </c>
    </row>
    <row r="58" spans="1:16" ht="39" x14ac:dyDescent="0.25">
      <c r="A58" s="9">
        <v>57</v>
      </c>
      <c r="B58" s="9">
        <v>225</v>
      </c>
      <c r="C58" s="13" t="s">
        <v>250</v>
      </c>
      <c r="D58" s="14" t="s">
        <v>252</v>
      </c>
      <c r="E58" s="9" t="s">
        <v>326</v>
      </c>
      <c r="F58" s="10">
        <v>24</v>
      </c>
      <c r="G58" s="10" t="s">
        <v>169</v>
      </c>
      <c r="H58" s="9">
        <v>9001141491</v>
      </c>
      <c r="I58" s="28">
        <v>1238</v>
      </c>
      <c r="J58" s="30">
        <f>I58/15</f>
        <v>82.533333333333331</v>
      </c>
      <c r="K58" s="34">
        <f>(J58*4)-L58</f>
        <v>30.133333333333326</v>
      </c>
      <c r="L58" s="35">
        <v>300</v>
      </c>
      <c r="M58" s="23">
        <f>(L58/I58)*100</f>
        <v>24.232633279483036</v>
      </c>
      <c r="N58" s="35">
        <v>0</v>
      </c>
      <c r="O58" s="23">
        <f>(N58/I58)*100</f>
        <v>0</v>
      </c>
      <c r="P58" s="35">
        <v>1</v>
      </c>
    </row>
    <row r="59" spans="1:16" ht="19.5" x14ac:dyDescent="0.25">
      <c r="A59" s="9">
        <v>58</v>
      </c>
      <c r="B59" s="9">
        <v>228</v>
      </c>
      <c r="C59" s="13" t="s">
        <v>254</v>
      </c>
      <c r="D59" s="14">
        <v>9783147328</v>
      </c>
      <c r="E59" s="9" t="s">
        <v>326</v>
      </c>
      <c r="F59" s="10">
        <v>24</v>
      </c>
      <c r="G59" s="10" t="s">
        <v>169</v>
      </c>
      <c r="H59" s="9">
        <v>9001141491</v>
      </c>
      <c r="I59" s="28">
        <v>1271</v>
      </c>
      <c r="J59" s="30">
        <f>I59/15</f>
        <v>84.733333333333334</v>
      </c>
      <c r="K59" s="34">
        <f>(J59*4)-L59</f>
        <v>30.933333333333337</v>
      </c>
      <c r="L59" s="35">
        <v>308</v>
      </c>
      <c r="M59" s="23">
        <f>(L59/I59)*100</f>
        <v>24.232887490165226</v>
      </c>
      <c r="N59" s="35">
        <v>0</v>
      </c>
      <c r="O59" s="23">
        <f>(N59/I59)*100</f>
        <v>0</v>
      </c>
      <c r="P59" s="35">
        <v>1</v>
      </c>
    </row>
    <row r="60" spans="1:16" ht="19.5" x14ac:dyDescent="0.25">
      <c r="A60" s="9">
        <v>59</v>
      </c>
      <c r="B60" s="9">
        <v>233</v>
      </c>
      <c r="C60" s="13" t="s">
        <v>258</v>
      </c>
      <c r="D60" s="14">
        <v>8387841746</v>
      </c>
      <c r="E60" s="9" t="s">
        <v>326</v>
      </c>
      <c r="F60" s="10">
        <v>24</v>
      </c>
      <c r="G60" s="10" t="s">
        <v>169</v>
      </c>
      <c r="H60" s="9">
        <v>9001141491</v>
      </c>
      <c r="I60" s="28">
        <v>1233</v>
      </c>
      <c r="J60" s="30">
        <f>I60/15</f>
        <v>82.2</v>
      </c>
      <c r="K60" s="34">
        <f>(J60*4)-L60</f>
        <v>13.800000000000011</v>
      </c>
      <c r="L60" s="35">
        <v>315</v>
      </c>
      <c r="M60" s="23">
        <f>(L60/I60)*100</f>
        <v>25.547445255474454</v>
      </c>
      <c r="N60" s="35">
        <v>0</v>
      </c>
      <c r="O60" s="23">
        <f>(N60/I60)*100</f>
        <v>0</v>
      </c>
      <c r="P60" s="35">
        <v>0</v>
      </c>
    </row>
    <row r="61" spans="1:16" ht="19.5" x14ac:dyDescent="0.25">
      <c r="A61" s="9">
        <v>60</v>
      </c>
      <c r="B61" s="9">
        <v>258</v>
      </c>
      <c r="C61" s="13" t="s">
        <v>283</v>
      </c>
      <c r="D61" s="14">
        <v>9928619627</v>
      </c>
      <c r="E61" s="9" t="s">
        <v>326</v>
      </c>
      <c r="F61" s="10">
        <v>27</v>
      </c>
      <c r="G61" s="10" t="s">
        <v>244</v>
      </c>
      <c r="H61" s="9">
        <v>9549455951</v>
      </c>
      <c r="I61" s="28">
        <v>573</v>
      </c>
      <c r="J61" s="30">
        <f>I61/15</f>
        <v>38.200000000000003</v>
      </c>
      <c r="K61" s="34">
        <f>(J61*4)-L61</f>
        <v>-5.1999999999999886</v>
      </c>
      <c r="L61" s="35">
        <v>158</v>
      </c>
      <c r="M61" s="23">
        <f>(L61/I61)*100</f>
        <v>27.57417102966841</v>
      </c>
      <c r="N61" s="35">
        <v>0</v>
      </c>
      <c r="O61" s="23">
        <f>(N61/I61)*100</f>
        <v>0</v>
      </c>
      <c r="P61" s="35">
        <v>1</v>
      </c>
    </row>
    <row r="62" spans="1:16" ht="19.5" x14ac:dyDescent="0.25">
      <c r="A62" s="9">
        <v>61</v>
      </c>
      <c r="B62" s="9">
        <v>232</v>
      </c>
      <c r="C62" s="13" t="s">
        <v>257</v>
      </c>
      <c r="D62" s="14">
        <v>9928100445</v>
      </c>
      <c r="E62" s="9" t="s">
        <v>326</v>
      </c>
      <c r="F62" s="10">
        <v>24</v>
      </c>
      <c r="G62" s="10" t="s">
        <v>169</v>
      </c>
      <c r="H62" s="9">
        <v>9001141491</v>
      </c>
      <c r="I62" s="28">
        <v>1049</v>
      </c>
      <c r="J62" s="30">
        <f>I62/15</f>
        <v>69.933333333333337</v>
      </c>
      <c r="K62" s="34">
        <f>(J62*4)-L62</f>
        <v>-10.266666666666652</v>
      </c>
      <c r="L62" s="35">
        <v>290</v>
      </c>
      <c r="M62" s="23">
        <f>(L62/I62)*100</f>
        <v>27.645376549094376</v>
      </c>
      <c r="N62" s="35">
        <v>0</v>
      </c>
      <c r="O62" s="23">
        <f>(N62/I62)*100</f>
        <v>0</v>
      </c>
      <c r="P62" s="35">
        <v>1</v>
      </c>
    </row>
    <row r="63" spans="1:16" ht="19.5" x14ac:dyDescent="0.25">
      <c r="A63" s="9">
        <v>62</v>
      </c>
      <c r="B63" s="9">
        <v>256</v>
      </c>
      <c r="C63" s="13" t="s">
        <v>16</v>
      </c>
      <c r="D63" s="14">
        <v>9929834411</v>
      </c>
      <c r="E63" s="9" t="s">
        <v>326</v>
      </c>
      <c r="F63" s="10">
        <v>27</v>
      </c>
      <c r="G63" s="10" t="s">
        <v>244</v>
      </c>
      <c r="H63" s="9">
        <v>9549455951</v>
      </c>
      <c r="I63" s="28">
        <v>797</v>
      </c>
      <c r="J63" s="30">
        <f>I63/15</f>
        <v>53.133333333333333</v>
      </c>
      <c r="K63" s="34">
        <f>(J63*4)-L63</f>
        <v>-24.466666666666669</v>
      </c>
      <c r="L63" s="35">
        <v>237</v>
      </c>
      <c r="M63" s="23">
        <f>(L63/I63)*100</f>
        <v>29.73651191969887</v>
      </c>
      <c r="N63" s="35">
        <v>0</v>
      </c>
      <c r="O63" s="23">
        <f>(N63/I63)*100</f>
        <v>0</v>
      </c>
      <c r="P63" s="35">
        <v>1</v>
      </c>
    </row>
    <row r="64" spans="1:16" ht="19.5" x14ac:dyDescent="0.25">
      <c r="A64" s="9">
        <v>63</v>
      </c>
      <c r="B64" s="9">
        <v>235</v>
      </c>
      <c r="C64" s="13" t="s">
        <v>260</v>
      </c>
      <c r="D64" s="14">
        <v>7665155431</v>
      </c>
      <c r="E64" s="9" t="s">
        <v>326</v>
      </c>
      <c r="F64" s="10">
        <v>27</v>
      </c>
      <c r="G64" s="10" t="s">
        <v>244</v>
      </c>
      <c r="H64" s="9">
        <v>9549455951</v>
      </c>
      <c r="I64" s="28">
        <v>826</v>
      </c>
      <c r="J64" s="30">
        <f>I64/15</f>
        <v>55.06666666666667</v>
      </c>
      <c r="K64" s="34">
        <f>(J64*4)-L64</f>
        <v>-189.73333333333332</v>
      </c>
      <c r="L64" s="35">
        <v>410</v>
      </c>
      <c r="M64" s="23">
        <f>(L64/I64)*100</f>
        <v>49.63680387409201</v>
      </c>
      <c r="N64" s="35">
        <v>0</v>
      </c>
      <c r="O64" s="23">
        <f>(N64/I64)*100</f>
        <v>0</v>
      </c>
      <c r="P64" s="35">
        <v>1</v>
      </c>
    </row>
    <row r="65" spans="1:16" ht="19.5" x14ac:dyDescent="0.25">
      <c r="A65" s="9">
        <v>64</v>
      </c>
      <c r="B65" s="9">
        <v>166</v>
      </c>
      <c r="C65" s="13" t="s">
        <v>190</v>
      </c>
      <c r="D65" s="15">
        <v>9929709450</v>
      </c>
      <c r="E65" s="9" t="s">
        <v>325</v>
      </c>
      <c r="F65" s="10">
        <v>8</v>
      </c>
      <c r="G65" s="10" t="s">
        <v>79</v>
      </c>
      <c r="H65" s="9">
        <v>6378312011</v>
      </c>
      <c r="I65" s="28">
        <v>1292</v>
      </c>
      <c r="J65" s="30">
        <f>I65/15</f>
        <v>86.13333333333334</v>
      </c>
      <c r="K65" s="34">
        <f>(J65*4)-L65</f>
        <v>173.53333333333336</v>
      </c>
      <c r="L65" s="35">
        <v>171</v>
      </c>
      <c r="M65" s="23">
        <f>(L65/I65)*100</f>
        <v>13.23529411764706</v>
      </c>
      <c r="N65" s="35">
        <v>0</v>
      </c>
      <c r="O65" s="23">
        <f>(N65/I65)*100</f>
        <v>0</v>
      </c>
      <c r="P65" s="35">
        <v>1</v>
      </c>
    </row>
    <row r="66" spans="1:16" ht="19.5" x14ac:dyDescent="0.25">
      <c r="A66" s="9">
        <v>65</v>
      </c>
      <c r="B66" s="9">
        <v>201</v>
      </c>
      <c r="C66" s="13" t="s">
        <v>197</v>
      </c>
      <c r="D66" s="15">
        <v>9829616008</v>
      </c>
      <c r="E66" s="9" t="s">
        <v>325</v>
      </c>
      <c r="F66" s="10">
        <v>8</v>
      </c>
      <c r="G66" s="10" t="s">
        <v>79</v>
      </c>
      <c r="H66" s="9">
        <v>6378312011</v>
      </c>
      <c r="I66" s="28">
        <v>1208</v>
      </c>
      <c r="J66" s="30">
        <f>I66/15</f>
        <v>80.533333333333331</v>
      </c>
      <c r="K66" s="34">
        <f>(J66*4)-L66</f>
        <v>127.13333333333333</v>
      </c>
      <c r="L66" s="35">
        <v>195</v>
      </c>
      <c r="M66" s="23">
        <f>(L66/I66)*100</f>
        <v>16.142384105960264</v>
      </c>
      <c r="N66" s="35">
        <v>0</v>
      </c>
      <c r="O66" s="23">
        <f>(N66/I66)*100</f>
        <v>0</v>
      </c>
      <c r="P66" s="35">
        <v>1</v>
      </c>
    </row>
    <row r="67" spans="1:16" ht="19.5" x14ac:dyDescent="0.25">
      <c r="A67" s="9">
        <v>66</v>
      </c>
      <c r="B67" s="9">
        <v>198</v>
      </c>
      <c r="C67" s="13" t="s">
        <v>219</v>
      </c>
      <c r="D67" s="14">
        <v>9413833046</v>
      </c>
      <c r="E67" s="9" t="s">
        <v>325</v>
      </c>
      <c r="F67" s="10">
        <v>6</v>
      </c>
      <c r="G67" s="10" t="s">
        <v>211</v>
      </c>
      <c r="H67" s="9">
        <v>8441919940</v>
      </c>
      <c r="I67" s="28">
        <v>1164</v>
      </c>
      <c r="J67" s="30">
        <f>I67/15</f>
        <v>77.599999999999994</v>
      </c>
      <c r="K67" s="34">
        <f>(J67*4)-L67</f>
        <v>117.39999999999998</v>
      </c>
      <c r="L67" s="35">
        <v>193</v>
      </c>
      <c r="M67" s="23">
        <f>(L67/I67)*100</f>
        <v>16.580756013745702</v>
      </c>
      <c r="N67" s="35">
        <v>1</v>
      </c>
      <c r="O67" s="23">
        <f>(N67/I67)*100</f>
        <v>8.5910652920962199E-2</v>
      </c>
      <c r="P67" s="35">
        <v>1</v>
      </c>
    </row>
    <row r="68" spans="1:16" ht="19.5" x14ac:dyDescent="0.25">
      <c r="A68" s="9">
        <v>67</v>
      </c>
      <c r="B68" s="9">
        <v>200</v>
      </c>
      <c r="C68" s="13" t="s">
        <v>222</v>
      </c>
      <c r="D68" s="15">
        <v>9783206574</v>
      </c>
      <c r="E68" s="9" t="s">
        <v>325</v>
      </c>
      <c r="F68" s="10">
        <v>8</v>
      </c>
      <c r="G68" s="10" t="s">
        <v>79</v>
      </c>
      <c r="H68" s="9">
        <v>6378312011</v>
      </c>
      <c r="I68" s="28">
        <v>1259</v>
      </c>
      <c r="J68" s="30">
        <f>I68/15</f>
        <v>83.933333333333337</v>
      </c>
      <c r="K68" s="34">
        <f>(J68*4)-L68</f>
        <v>116.73333333333335</v>
      </c>
      <c r="L68" s="35">
        <v>219</v>
      </c>
      <c r="M68" s="23">
        <f>(L68/I68)*100</f>
        <v>17.394757744241463</v>
      </c>
      <c r="N68" s="35">
        <v>0</v>
      </c>
      <c r="O68" s="23">
        <f>(N68/I68)*100</f>
        <v>0</v>
      </c>
      <c r="P68" s="35">
        <v>1</v>
      </c>
    </row>
    <row r="69" spans="1:16" ht="19.5" x14ac:dyDescent="0.25">
      <c r="A69" s="9">
        <v>68</v>
      </c>
      <c r="B69" s="9">
        <v>167</v>
      </c>
      <c r="C69" s="13" t="s">
        <v>191</v>
      </c>
      <c r="D69" s="15">
        <v>9413263538</v>
      </c>
      <c r="E69" s="9" t="s">
        <v>325</v>
      </c>
      <c r="F69" s="10">
        <v>8</v>
      </c>
      <c r="G69" s="10" t="s">
        <v>79</v>
      </c>
      <c r="H69" s="9">
        <v>6378312011</v>
      </c>
      <c r="I69" s="28">
        <v>979</v>
      </c>
      <c r="J69" s="30">
        <f>I69/15</f>
        <v>65.266666666666666</v>
      </c>
      <c r="K69" s="34">
        <f>(J69*4)-L69</f>
        <v>90.066666666666663</v>
      </c>
      <c r="L69" s="35">
        <v>171</v>
      </c>
      <c r="M69" s="23">
        <f>(L69/I69)*100</f>
        <v>17.466802860061286</v>
      </c>
      <c r="N69" s="35">
        <v>0</v>
      </c>
      <c r="O69" s="23">
        <f>(N69/I69)*100</f>
        <v>0</v>
      </c>
      <c r="P69" s="35">
        <v>1</v>
      </c>
    </row>
    <row r="70" spans="1:16" ht="19.5" x14ac:dyDescent="0.25">
      <c r="A70" s="9">
        <v>69</v>
      </c>
      <c r="B70" s="9">
        <v>195</v>
      </c>
      <c r="C70" s="13" t="s">
        <v>217</v>
      </c>
      <c r="D70" s="15">
        <v>9001673354</v>
      </c>
      <c r="E70" s="9" t="s">
        <v>325</v>
      </c>
      <c r="F70" s="10">
        <v>5</v>
      </c>
      <c r="G70" s="10" t="s">
        <v>95</v>
      </c>
      <c r="H70" s="9">
        <v>9001623468</v>
      </c>
      <c r="I70" s="28">
        <v>982</v>
      </c>
      <c r="J70" s="30">
        <f>I70/15</f>
        <v>65.466666666666669</v>
      </c>
      <c r="K70" s="34">
        <f>(J70*4)-L70</f>
        <v>65.866666666666674</v>
      </c>
      <c r="L70" s="35">
        <v>196</v>
      </c>
      <c r="M70" s="23">
        <f>(L70/I70)*100</f>
        <v>19.959266802443992</v>
      </c>
      <c r="N70" s="35">
        <v>0</v>
      </c>
      <c r="O70" s="23">
        <f>(N70/I70)*100</f>
        <v>0</v>
      </c>
      <c r="P70" s="35">
        <v>1</v>
      </c>
    </row>
    <row r="71" spans="1:16" ht="19.5" x14ac:dyDescent="0.25">
      <c r="A71" s="9">
        <v>70</v>
      </c>
      <c r="B71" s="9">
        <v>63</v>
      </c>
      <c r="C71" s="13" t="s">
        <v>81</v>
      </c>
      <c r="D71" s="14">
        <v>9929362041</v>
      </c>
      <c r="E71" s="9" t="s">
        <v>325</v>
      </c>
      <c r="F71" s="10">
        <v>4</v>
      </c>
      <c r="G71" s="10" t="s">
        <v>80</v>
      </c>
      <c r="H71" s="9">
        <v>9829874930</v>
      </c>
      <c r="I71" s="28">
        <v>786</v>
      </c>
      <c r="J71" s="30">
        <f>I71/15</f>
        <v>52.4</v>
      </c>
      <c r="K71" s="34">
        <f>(J71*4)-L71</f>
        <v>49.599999999999994</v>
      </c>
      <c r="L71" s="35">
        <v>160</v>
      </c>
      <c r="M71" s="23">
        <f>(L71/I71)*100</f>
        <v>20.356234096692109</v>
      </c>
      <c r="N71" s="35">
        <v>0</v>
      </c>
      <c r="O71" s="23">
        <f>(N71/I71)*100</f>
        <v>0</v>
      </c>
      <c r="P71" s="35">
        <v>1</v>
      </c>
    </row>
    <row r="72" spans="1:16" ht="19.5" x14ac:dyDescent="0.25">
      <c r="A72" s="9">
        <v>71</v>
      </c>
      <c r="B72" s="9">
        <v>199</v>
      </c>
      <c r="C72" s="13" t="s">
        <v>221</v>
      </c>
      <c r="D72" s="15">
        <v>9982046105</v>
      </c>
      <c r="E72" s="9" t="s">
        <v>325</v>
      </c>
      <c r="F72" s="10">
        <v>8</v>
      </c>
      <c r="G72" s="10" t="s">
        <v>79</v>
      </c>
      <c r="H72" s="9">
        <v>6378312011</v>
      </c>
      <c r="I72" s="28">
        <v>1376</v>
      </c>
      <c r="J72" s="30">
        <f>I72/15</f>
        <v>91.733333333333334</v>
      </c>
      <c r="K72" s="34">
        <f>(J72*4)-L72</f>
        <v>81.933333333333337</v>
      </c>
      <c r="L72" s="35">
        <v>285</v>
      </c>
      <c r="M72" s="23">
        <f>(L72/I72)*100</f>
        <v>20.712209302325583</v>
      </c>
      <c r="N72" s="35">
        <v>0</v>
      </c>
      <c r="O72" s="23">
        <f>(N72/I72)*100</f>
        <v>0</v>
      </c>
      <c r="P72" s="35">
        <v>1</v>
      </c>
    </row>
    <row r="73" spans="1:16" ht="19.5" x14ac:dyDescent="0.25">
      <c r="A73" s="9">
        <v>72</v>
      </c>
      <c r="B73" s="9">
        <v>190</v>
      </c>
      <c r="C73" s="13" t="s">
        <v>212</v>
      </c>
      <c r="D73" s="15">
        <v>9660846582</v>
      </c>
      <c r="E73" s="9" t="s">
        <v>325</v>
      </c>
      <c r="F73" s="10">
        <v>6</v>
      </c>
      <c r="G73" s="10" t="s">
        <v>211</v>
      </c>
      <c r="H73" s="9">
        <v>8441919940</v>
      </c>
      <c r="I73" s="28">
        <v>957</v>
      </c>
      <c r="J73" s="30">
        <f>I73/15</f>
        <v>63.8</v>
      </c>
      <c r="K73" s="34">
        <f>(J73*4)-L73</f>
        <v>53.199999999999989</v>
      </c>
      <c r="L73" s="35">
        <v>202</v>
      </c>
      <c r="M73" s="23">
        <f>(L73/I73)*100</f>
        <v>21.10762800417973</v>
      </c>
      <c r="N73" s="35">
        <v>0</v>
      </c>
      <c r="O73" s="23">
        <f>(N73/I73)*100</f>
        <v>0</v>
      </c>
      <c r="P73" s="35">
        <v>1</v>
      </c>
    </row>
    <row r="74" spans="1:16" ht="19.5" x14ac:dyDescent="0.25">
      <c r="A74" s="9">
        <v>73</v>
      </c>
      <c r="B74" s="9">
        <v>192</v>
      </c>
      <c r="C74" s="13" t="s">
        <v>213</v>
      </c>
      <c r="D74" s="14">
        <v>9783886697</v>
      </c>
      <c r="E74" s="9" t="s">
        <v>325</v>
      </c>
      <c r="F74" s="10">
        <v>6</v>
      </c>
      <c r="G74" s="10" t="s">
        <v>211</v>
      </c>
      <c r="H74" s="9">
        <v>8441919940</v>
      </c>
      <c r="I74" s="28">
        <v>956</v>
      </c>
      <c r="J74" s="30">
        <f>I74/15</f>
        <v>63.733333333333334</v>
      </c>
      <c r="K74" s="34">
        <f>(J74*4)-L74</f>
        <v>46.933333333333337</v>
      </c>
      <c r="L74" s="35">
        <v>208</v>
      </c>
      <c r="M74" s="23">
        <f>(L74/I74)*100</f>
        <v>21.75732217573222</v>
      </c>
      <c r="N74" s="35">
        <v>0</v>
      </c>
      <c r="O74" s="23">
        <f>(N74/I74)*100</f>
        <v>0</v>
      </c>
      <c r="P74" s="35">
        <v>0</v>
      </c>
    </row>
    <row r="75" spans="1:16" ht="39" x14ac:dyDescent="0.25">
      <c r="A75" s="9">
        <v>74</v>
      </c>
      <c r="B75" s="9">
        <v>197</v>
      </c>
      <c r="C75" s="13" t="s">
        <v>187</v>
      </c>
      <c r="D75" s="14" t="s">
        <v>220</v>
      </c>
      <c r="E75" s="9" t="s">
        <v>325</v>
      </c>
      <c r="F75" s="10">
        <v>6</v>
      </c>
      <c r="G75" s="10" t="s">
        <v>211</v>
      </c>
      <c r="H75" s="9">
        <v>8441919940</v>
      </c>
      <c r="I75" s="28">
        <v>1212</v>
      </c>
      <c r="J75" s="30">
        <f>I75/15</f>
        <v>80.8</v>
      </c>
      <c r="K75" s="34">
        <f>(J75*4)-L75</f>
        <v>58.199999999999989</v>
      </c>
      <c r="L75" s="35">
        <v>265</v>
      </c>
      <c r="M75" s="23">
        <f>(L75/I75)*100</f>
        <v>21.864686468646866</v>
      </c>
      <c r="N75" s="35">
        <v>0</v>
      </c>
      <c r="O75" s="23">
        <f>(N75/I75)*100</f>
        <v>0</v>
      </c>
      <c r="P75" s="35">
        <v>0</v>
      </c>
    </row>
    <row r="76" spans="1:16" ht="19.5" x14ac:dyDescent="0.25">
      <c r="A76" s="9">
        <v>75</v>
      </c>
      <c r="B76" s="9">
        <v>189</v>
      </c>
      <c r="C76" s="13" t="s">
        <v>164</v>
      </c>
      <c r="D76" s="15">
        <v>9928746415</v>
      </c>
      <c r="E76" s="9" t="s">
        <v>325</v>
      </c>
      <c r="F76" s="10">
        <v>6</v>
      </c>
      <c r="G76" s="10" t="s">
        <v>211</v>
      </c>
      <c r="H76" s="9">
        <v>8441919940</v>
      </c>
      <c r="I76" s="28">
        <v>889</v>
      </c>
      <c r="J76" s="30">
        <f>I76/15</f>
        <v>59.266666666666666</v>
      </c>
      <c r="K76" s="34">
        <f>(J76*4)-L76</f>
        <v>38.066666666666663</v>
      </c>
      <c r="L76" s="35">
        <v>199</v>
      </c>
      <c r="M76" s="23">
        <f>(L76/I76)*100</f>
        <v>22.384701912260969</v>
      </c>
      <c r="N76" s="35">
        <v>0</v>
      </c>
      <c r="O76" s="23">
        <f>(N76/I76)*100</f>
        <v>0</v>
      </c>
      <c r="P76" s="35">
        <v>1</v>
      </c>
    </row>
    <row r="77" spans="1:16" ht="19.5" x14ac:dyDescent="0.25">
      <c r="A77" s="9">
        <v>76</v>
      </c>
      <c r="B77" s="9">
        <v>62</v>
      </c>
      <c r="C77" s="13" t="s">
        <v>79</v>
      </c>
      <c r="D77" s="15">
        <v>8003254213</v>
      </c>
      <c r="E77" s="9" t="s">
        <v>325</v>
      </c>
      <c r="F77" s="10">
        <v>4</v>
      </c>
      <c r="G77" s="10" t="s">
        <v>80</v>
      </c>
      <c r="H77" s="9">
        <v>9829874930</v>
      </c>
      <c r="I77" s="28">
        <v>821</v>
      </c>
      <c r="J77" s="30">
        <f>I77/15</f>
        <v>54.733333333333334</v>
      </c>
      <c r="K77" s="34">
        <f>(J77*4)-L77</f>
        <v>34.933333333333337</v>
      </c>
      <c r="L77" s="35">
        <v>184</v>
      </c>
      <c r="M77" s="23">
        <f>(L77/I77)*100</f>
        <v>22.411693057247259</v>
      </c>
      <c r="N77" s="35">
        <v>0</v>
      </c>
      <c r="O77" s="23">
        <f>(N77/I77)*100</f>
        <v>0</v>
      </c>
      <c r="P77" s="35">
        <v>1</v>
      </c>
    </row>
    <row r="78" spans="1:16" ht="19.5" x14ac:dyDescent="0.25">
      <c r="A78" s="9">
        <v>77</v>
      </c>
      <c r="B78" s="9">
        <v>177</v>
      </c>
      <c r="C78" s="13" t="s">
        <v>201</v>
      </c>
      <c r="D78" s="15">
        <v>8290702490</v>
      </c>
      <c r="E78" s="9" t="s">
        <v>325</v>
      </c>
      <c r="F78" s="10">
        <v>5</v>
      </c>
      <c r="G78" s="10" t="s">
        <v>95</v>
      </c>
      <c r="H78" s="9">
        <v>9001623468</v>
      </c>
      <c r="I78" s="28">
        <v>1078</v>
      </c>
      <c r="J78" s="30">
        <f>I78/15</f>
        <v>71.86666666666666</v>
      </c>
      <c r="K78" s="34">
        <f>(J78*4)-L78</f>
        <v>36.46666666666664</v>
      </c>
      <c r="L78" s="35">
        <v>251</v>
      </c>
      <c r="M78" s="23">
        <f>(L78/I78)*100</f>
        <v>23.283858998144712</v>
      </c>
      <c r="N78" s="35">
        <v>0</v>
      </c>
      <c r="O78" s="23">
        <f>(N78/I78)*100</f>
        <v>0</v>
      </c>
      <c r="P78" s="35">
        <v>1</v>
      </c>
    </row>
    <row r="79" spans="1:16" ht="19.5" x14ac:dyDescent="0.25">
      <c r="A79" s="9">
        <v>78</v>
      </c>
      <c r="B79" s="9">
        <v>75</v>
      </c>
      <c r="C79" s="13" t="s">
        <v>94</v>
      </c>
      <c r="D79" s="14">
        <v>8003908236</v>
      </c>
      <c r="E79" s="9" t="s">
        <v>325</v>
      </c>
      <c r="F79" s="10">
        <v>5</v>
      </c>
      <c r="G79" s="10" t="s">
        <v>95</v>
      </c>
      <c r="H79" s="9">
        <v>9001623468</v>
      </c>
      <c r="I79" s="28">
        <v>1460</v>
      </c>
      <c r="J79" s="30">
        <f>I79/15</f>
        <v>97.333333333333329</v>
      </c>
      <c r="K79" s="34">
        <f>(J79*4)-L79</f>
        <v>45.333333333333314</v>
      </c>
      <c r="L79" s="35">
        <v>344</v>
      </c>
      <c r="M79" s="23">
        <f>(L79/I79)*100</f>
        <v>23.56164383561644</v>
      </c>
      <c r="N79" s="35">
        <v>0</v>
      </c>
      <c r="O79" s="23">
        <f>(N79/I79)*100</f>
        <v>0</v>
      </c>
      <c r="P79" s="35">
        <v>1</v>
      </c>
    </row>
    <row r="80" spans="1:16" ht="19.5" x14ac:dyDescent="0.25">
      <c r="A80" s="9">
        <v>79</v>
      </c>
      <c r="B80" s="9">
        <v>176</v>
      </c>
      <c r="C80" s="13" t="s">
        <v>13</v>
      </c>
      <c r="D80" s="14">
        <v>9636665063</v>
      </c>
      <c r="E80" s="9" t="s">
        <v>325</v>
      </c>
      <c r="F80" s="10">
        <v>5</v>
      </c>
      <c r="G80" s="10" t="s">
        <v>95</v>
      </c>
      <c r="H80" s="9">
        <v>9001623468</v>
      </c>
      <c r="I80" s="28">
        <v>737</v>
      </c>
      <c r="J80" s="30">
        <f>I80/15</f>
        <v>49.133333333333333</v>
      </c>
      <c r="K80" s="34">
        <f>(J80*4)-L80</f>
        <v>11.533333333333331</v>
      </c>
      <c r="L80" s="35">
        <v>185</v>
      </c>
      <c r="M80" s="23">
        <f>(L80/I80)*100</f>
        <v>25.10176390773406</v>
      </c>
      <c r="N80" s="35">
        <v>0</v>
      </c>
      <c r="O80" s="23">
        <f>(N80/I80)*100</f>
        <v>0</v>
      </c>
      <c r="P80" s="35">
        <v>1</v>
      </c>
    </row>
    <row r="81" spans="1:16" ht="19.5" x14ac:dyDescent="0.25">
      <c r="A81" s="9">
        <v>80</v>
      </c>
      <c r="B81" s="9">
        <v>179</v>
      </c>
      <c r="C81" s="13" t="s">
        <v>203</v>
      </c>
      <c r="D81" s="14">
        <v>9680961619</v>
      </c>
      <c r="E81" s="9" t="s">
        <v>325</v>
      </c>
      <c r="F81" s="10">
        <v>5</v>
      </c>
      <c r="G81" s="10" t="s">
        <v>95</v>
      </c>
      <c r="H81" s="9">
        <v>9001623468</v>
      </c>
      <c r="I81" s="28">
        <v>568</v>
      </c>
      <c r="J81" s="30">
        <f>I81/15</f>
        <v>37.866666666666667</v>
      </c>
      <c r="K81" s="34">
        <f>(J81*4)-L81</f>
        <v>4.4666666666666686</v>
      </c>
      <c r="L81" s="35">
        <v>147</v>
      </c>
      <c r="M81" s="23">
        <f>(L81/I81)*100</f>
        <v>25.880281690140844</v>
      </c>
      <c r="N81" s="35">
        <v>0</v>
      </c>
      <c r="O81" s="23">
        <f>(N81/I81)*100</f>
        <v>0</v>
      </c>
      <c r="P81" s="35">
        <v>1</v>
      </c>
    </row>
    <row r="82" spans="1:16" ht="39" x14ac:dyDescent="0.25">
      <c r="A82" s="9">
        <v>81</v>
      </c>
      <c r="B82" s="9">
        <v>193</v>
      </c>
      <c r="C82" s="13" t="s">
        <v>214</v>
      </c>
      <c r="D82" s="15" t="s">
        <v>216</v>
      </c>
      <c r="E82" s="9" t="s">
        <v>325</v>
      </c>
      <c r="F82" s="10">
        <v>5</v>
      </c>
      <c r="G82" s="10" t="s">
        <v>95</v>
      </c>
      <c r="H82" s="9">
        <v>9001623468</v>
      </c>
      <c r="I82" s="28">
        <v>1010</v>
      </c>
      <c r="J82" s="30">
        <f>I82/15</f>
        <v>67.333333333333329</v>
      </c>
      <c r="K82" s="34">
        <f>(J82*4)-L82</f>
        <v>5.3333333333333144</v>
      </c>
      <c r="L82" s="35">
        <v>264</v>
      </c>
      <c r="M82" s="23">
        <f>(L82/I82)*100</f>
        <v>26.138613861386141</v>
      </c>
      <c r="N82" s="35">
        <v>1</v>
      </c>
      <c r="O82" s="23">
        <f>(N82/I82)*100</f>
        <v>9.9009900990099015E-2</v>
      </c>
      <c r="P82" s="35">
        <v>1</v>
      </c>
    </row>
    <row r="83" spans="1:16" ht="19.5" x14ac:dyDescent="0.25">
      <c r="A83" s="9">
        <v>82</v>
      </c>
      <c r="B83" s="9">
        <v>174</v>
      </c>
      <c r="C83" s="13" t="s">
        <v>198</v>
      </c>
      <c r="D83" s="19">
        <v>7073227575</v>
      </c>
      <c r="E83" s="9" t="s">
        <v>325</v>
      </c>
      <c r="F83" s="10">
        <v>4</v>
      </c>
      <c r="G83" s="10" t="s">
        <v>80</v>
      </c>
      <c r="H83" s="9">
        <v>9829874930</v>
      </c>
      <c r="I83" s="28">
        <v>870</v>
      </c>
      <c r="J83" s="30">
        <f>I83/15</f>
        <v>58</v>
      </c>
      <c r="K83" s="34">
        <f>(J83*4)-L83</f>
        <v>-2</v>
      </c>
      <c r="L83" s="35">
        <v>234</v>
      </c>
      <c r="M83" s="23">
        <f>(L83/I83)*100</f>
        <v>26.896551724137929</v>
      </c>
      <c r="N83" s="35">
        <v>0</v>
      </c>
      <c r="O83" s="23">
        <f>(N83/I83)*100</f>
        <v>0</v>
      </c>
      <c r="P83" s="35">
        <v>1</v>
      </c>
    </row>
    <row r="84" spans="1:16" ht="19.5" x14ac:dyDescent="0.25">
      <c r="A84" s="9">
        <v>83</v>
      </c>
      <c r="B84" s="9">
        <v>172</v>
      </c>
      <c r="C84" s="13" t="s">
        <v>196</v>
      </c>
      <c r="D84" s="14">
        <v>9950239688</v>
      </c>
      <c r="E84" s="9" t="s">
        <v>325</v>
      </c>
      <c r="F84" s="10">
        <v>4</v>
      </c>
      <c r="G84" s="10" t="s">
        <v>80</v>
      </c>
      <c r="H84" s="9">
        <v>9829874930</v>
      </c>
      <c r="I84" s="28">
        <v>1147</v>
      </c>
      <c r="J84" s="30">
        <f>I84/15</f>
        <v>76.466666666666669</v>
      </c>
      <c r="K84" s="34">
        <f>(J84*4)-L84</f>
        <v>-4.1333333333333258</v>
      </c>
      <c r="L84" s="35">
        <v>310</v>
      </c>
      <c r="M84" s="23">
        <f>(L84/I84)*100</f>
        <v>27.027027027027028</v>
      </c>
      <c r="N84" s="35">
        <v>0</v>
      </c>
      <c r="O84" s="23">
        <f>(N84/I84)*100</f>
        <v>0</v>
      </c>
      <c r="P84" s="35">
        <v>0</v>
      </c>
    </row>
    <row r="85" spans="1:16" ht="19.5" x14ac:dyDescent="0.25">
      <c r="A85" s="9">
        <v>84</v>
      </c>
      <c r="B85" s="9">
        <v>194</v>
      </c>
      <c r="C85" s="13" t="s">
        <v>215</v>
      </c>
      <c r="D85" s="15">
        <v>8769896308</v>
      </c>
      <c r="E85" s="9" t="s">
        <v>325</v>
      </c>
      <c r="F85" s="10">
        <v>5</v>
      </c>
      <c r="G85" s="10" t="s">
        <v>95</v>
      </c>
      <c r="H85" s="9">
        <v>9001623468</v>
      </c>
      <c r="I85" s="28">
        <v>1025</v>
      </c>
      <c r="J85" s="30">
        <f>I85/15</f>
        <v>68.333333333333329</v>
      </c>
      <c r="K85" s="34">
        <f>(J85*4)-L85</f>
        <v>-12.666666666666686</v>
      </c>
      <c r="L85" s="35">
        <v>286</v>
      </c>
      <c r="M85" s="23">
        <f>(L85/I85)*100</f>
        <v>27.902439024390247</v>
      </c>
      <c r="N85" s="35">
        <v>0</v>
      </c>
      <c r="O85" s="23">
        <f>(N85/I85)*100</f>
        <v>0</v>
      </c>
      <c r="P85" s="35">
        <v>1</v>
      </c>
    </row>
    <row r="86" spans="1:16" ht="19.5" x14ac:dyDescent="0.25">
      <c r="A86" s="9">
        <v>85</v>
      </c>
      <c r="B86" s="9">
        <v>170</v>
      </c>
      <c r="C86" s="13" t="s">
        <v>194</v>
      </c>
      <c r="D86" s="14">
        <v>9982873286</v>
      </c>
      <c r="E86" s="9" t="s">
        <v>325</v>
      </c>
      <c r="F86" s="10">
        <v>8</v>
      </c>
      <c r="G86" s="10" t="s">
        <v>79</v>
      </c>
      <c r="H86" s="9">
        <v>6378312011</v>
      </c>
      <c r="I86" s="28">
        <v>393</v>
      </c>
      <c r="J86" s="30">
        <f>I86/15</f>
        <v>26.2</v>
      </c>
      <c r="K86" s="34">
        <f>(J86*4)-L86</f>
        <v>-5.2000000000000028</v>
      </c>
      <c r="L86" s="35">
        <v>110</v>
      </c>
      <c r="M86" s="23">
        <f>(L86/I86)*100</f>
        <v>27.989821882951656</v>
      </c>
      <c r="N86" s="35">
        <v>0</v>
      </c>
      <c r="O86" s="23">
        <f>(N86/I86)*100</f>
        <v>0</v>
      </c>
      <c r="P86" s="35">
        <v>1</v>
      </c>
    </row>
    <row r="87" spans="1:16" ht="39" x14ac:dyDescent="0.25">
      <c r="A87" s="9">
        <v>86</v>
      </c>
      <c r="B87" s="9">
        <v>175</v>
      </c>
      <c r="C87" s="13" t="s">
        <v>199</v>
      </c>
      <c r="D87" s="14" t="s">
        <v>200</v>
      </c>
      <c r="E87" s="9" t="s">
        <v>325</v>
      </c>
      <c r="F87" s="10">
        <v>4</v>
      </c>
      <c r="G87" s="10" t="s">
        <v>80</v>
      </c>
      <c r="H87" s="9">
        <v>9829874930</v>
      </c>
      <c r="I87" s="28">
        <v>1299</v>
      </c>
      <c r="J87" s="30">
        <f>I87/15</f>
        <v>86.6</v>
      </c>
      <c r="K87" s="34">
        <f>(J87*4)-L87</f>
        <v>-21.600000000000023</v>
      </c>
      <c r="L87" s="35">
        <v>368</v>
      </c>
      <c r="M87" s="23">
        <f>(L87/I87)*100</f>
        <v>28.329484218629712</v>
      </c>
      <c r="N87" s="35">
        <v>0</v>
      </c>
      <c r="O87" s="23">
        <f>(N87/I87)*100</f>
        <v>0</v>
      </c>
      <c r="P87" s="35">
        <v>0</v>
      </c>
    </row>
    <row r="88" spans="1:16" ht="19.5" x14ac:dyDescent="0.25">
      <c r="A88" s="9">
        <v>87</v>
      </c>
      <c r="B88" s="9">
        <v>77</v>
      </c>
      <c r="C88" s="13" t="s">
        <v>10</v>
      </c>
      <c r="D88" s="9">
        <v>9928484137</v>
      </c>
      <c r="E88" s="9" t="s">
        <v>325</v>
      </c>
      <c r="F88" s="10">
        <v>4</v>
      </c>
      <c r="G88" s="10" t="s">
        <v>80</v>
      </c>
      <c r="H88" s="9">
        <v>9829874930</v>
      </c>
      <c r="I88" s="28">
        <v>760</v>
      </c>
      <c r="J88" s="30">
        <f>I88/15</f>
        <v>50.666666666666664</v>
      </c>
      <c r="K88" s="34">
        <f>(J88*4)-L88</f>
        <v>-23.333333333333343</v>
      </c>
      <c r="L88" s="35">
        <v>226</v>
      </c>
      <c r="M88" s="23">
        <f>(L88/I88)*100</f>
        <v>29.736842105263158</v>
      </c>
      <c r="N88" s="35">
        <v>0</v>
      </c>
      <c r="O88" s="23">
        <f>(N88/I88)*100</f>
        <v>0</v>
      </c>
      <c r="P88" s="35">
        <v>0</v>
      </c>
    </row>
    <row r="89" spans="1:16" ht="19.5" x14ac:dyDescent="0.25">
      <c r="A89" s="9">
        <v>88</v>
      </c>
      <c r="B89" s="9">
        <v>196</v>
      </c>
      <c r="C89" s="13" t="s">
        <v>218</v>
      </c>
      <c r="D89" s="14">
        <v>6350121850</v>
      </c>
      <c r="E89" s="9" t="s">
        <v>325</v>
      </c>
      <c r="F89" s="10">
        <v>6</v>
      </c>
      <c r="G89" s="10" t="s">
        <v>211</v>
      </c>
      <c r="H89" s="9">
        <v>8441919940</v>
      </c>
      <c r="I89" s="28">
        <v>1320</v>
      </c>
      <c r="J89" s="30">
        <f>I89/15</f>
        <v>88</v>
      </c>
      <c r="K89" s="34">
        <f>(J89*4)-L89</f>
        <v>-43</v>
      </c>
      <c r="L89" s="35">
        <v>395</v>
      </c>
      <c r="M89" s="23">
        <f>(L89/I89)*100</f>
        <v>29.924242424242426</v>
      </c>
      <c r="N89" s="35">
        <v>0</v>
      </c>
      <c r="O89" s="23">
        <f>(N89/I89)*100</f>
        <v>0</v>
      </c>
      <c r="P89" s="35">
        <v>1</v>
      </c>
    </row>
    <row r="90" spans="1:16" ht="19.5" x14ac:dyDescent="0.25">
      <c r="A90" s="9">
        <v>89</v>
      </c>
      <c r="B90" s="9">
        <v>178</v>
      </c>
      <c r="C90" s="13" t="s">
        <v>202</v>
      </c>
      <c r="D90" s="14">
        <v>9799387923</v>
      </c>
      <c r="E90" s="9" t="s">
        <v>325</v>
      </c>
      <c r="F90" s="10">
        <v>5</v>
      </c>
      <c r="G90" s="10" t="s">
        <v>95</v>
      </c>
      <c r="H90" s="9">
        <v>9001623468</v>
      </c>
      <c r="I90" s="28">
        <v>938</v>
      </c>
      <c r="J90" s="30">
        <f>I90/15</f>
        <v>62.533333333333331</v>
      </c>
      <c r="K90" s="34">
        <f>(J90*4)-L90</f>
        <v>-30.866666666666674</v>
      </c>
      <c r="L90" s="35">
        <v>281</v>
      </c>
      <c r="M90" s="23">
        <f>(L90/I90)*100</f>
        <v>29.957356076759062</v>
      </c>
      <c r="N90" s="35">
        <v>0</v>
      </c>
      <c r="O90" s="23">
        <f>(N90/I90)*100</f>
        <v>0</v>
      </c>
      <c r="P90" s="35">
        <v>0</v>
      </c>
    </row>
    <row r="91" spans="1:16" ht="19.5" x14ac:dyDescent="0.25">
      <c r="A91" s="9">
        <v>90</v>
      </c>
      <c r="B91" s="9">
        <v>76</v>
      </c>
      <c r="C91" s="13" t="s">
        <v>96</v>
      </c>
      <c r="D91" s="15">
        <v>9983648660</v>
      </c>
      <c r="E91" s="9" t="s">
        <v>325</v>
      </c>
      <c r="F91" s="10">
        <v>4</v>
      </c>
      <c r="G91" s="10" t="s">
        <v>80</v>
      </c>
      <c r="H91" s="9">
        <v>9829874930</v>
      </c>
      <c r="I91" s="28">
        <v>1202</v>
      </c>
      <c r="J91" s="30">
        <f>I91/15</f>
        <v>80.13333333333334</v>
      </c>
      <c r="K91" s="34">
        <f>(J91*4)-L91</f>
        <v>-40.46666666666664</v>
      </c>
      <c r="L91" s="35">
        <v>361</v>
      </c>
      <c r="M91" s="23">
        <f>(L91/I91)*100</f>
        <v>30.033277870216306</v>
      </c>
      <c r="N91" s="35">
        <v>0</v>
      </c>
      <c r="O91" s="23">
        <f>(N91/I91)*100</f>
        <v>0</v>
      </c>
      <c r="P91" s="35">
        <v>1</v>
      </c>
    </row>
    <row r="92" spans="1:16" ht="19.5" x14ac:dyDescent="0.25">
      <c r="A92" s="9">
        <v>91</v>
      </c>
      <c r="B92" s="9">
        <v>173</v>
      </c>
      <c r="C92" s="18" t="s">
        <v>197</v>
      </c>
      <c r="D92" s="14">
        <v>7820983020</v>
      </c>
      <c r="E92" s="9" t="s">
        <v>325</v>
      </c>
      <c r="F92" s="10">
        <v>4</v>
      </c>
      <c r="G92" s="10" t="s">
        <v>80</v>
      </c>
      <c r="H92" s="9">
        <v>9829874930</v>
      </c>
      <c r="I92" s="28">
        <v>1223</v>
      </c>
      <c r="J92" s="30">
        <f>I92/15</f>
        <v>81.533333333333331</v>
      </c>
      <c r="K92" s="34">
        <f>(J92*4)-L92</f>
        <v>-47.866666666666674</v>
      </c>
      <c r="L92" s="35">
        <v>374</v>
      </c>
      <c r="M92" s="23">
        <f>(L92/I92)*100</f>
        <v>30.580539656582172</v>
      </c>
      <c r="N92" s="35">
        <v>0</v>
      </c>
      <c r="O92" s="23">
        <f>(N92/I92)*100</f>
        <v>0</v>
      </c>
      <c r="P92" s="35">
        <v>1</v>
      </c>
    </row>
    <row r="93" spans="1:16" ht="19.5" x14ac:dyDescent="0.25">
      <c r="A93" s="9">
        <v>92</v>
      </c>
      <c r="B93" s="9">
        <v>191</v>
      </c>
      <c r="C93" s="13" t="s">
        <v>13</v>
      </c>
      <c r="D93" s="14">
        <v>9829605257</v>
      </c>
      <c r="E93" s="9" t="s">
        <v>325</v>
      </c>
      <c r="F93" s="10">
        <v>6</v>
      </c>
      <c r="G93" s="10" t="s">
        <v>211</v>
      </c>
      <c r="H93" s="9">
        <v>8441919940</v>
      </c>
      <c r="I93" s="28">
        <v>715</v>
      </c>
      <c r="J93" s="30">
        <f>I93/15</f>
        <v>47.666666666666664</v>
      </c>
      <c r="K93" s="34">
        <f>(J93*4)-L93</f>
        <v>-37.333333333333343</v>
      </c>
      <c r="L93" s="35">
        <v>228</v>
      </c>
      <c r="M93" s="23">
        <f>(L93/I93)*100</f>
        <v>31.888111888111887</v>
      </c>
      <c r="N93" s="35">
        <v>0</v>
      </c>
      <c r="O93" s="23">
        <f>(N93/I93)*100</f>
        <v>0</v>
      </c>
      <c r="P93" s="35">
        <v>1</v>
      </c>
    </row>
    <row r="94" spans="1:16" ht="19.5" x14ac:dyDescent="0.25">
      <c r="A94" s="9">
        <v>93</v>
      </c>
      <c r="B94" s="9">
        <v>168</v>
      </c>
      <c r="C94" s="13" t="s">
        <v>192</v>
      </c>
      <c r="D94" s="15">
        <v>6350213063</v>
      </c>
      <c r="E94" s="9" t="s">
        <v>325</v>
      </c>
      <c r="F94" s="10">
        <v>8</v>
      </c>
      <c r="G94" s="10" t="s">
        <v>79</v>
      </c>
      <c r="H94" s="9">
        <v>6378312011</v>
      </c>
      <c r="I94" s="28">
        <v>826</v>
      </c>
      <c r="J94" s="30">
        <f>I94/15</f>
        <v>55.06666666666667</v>
      </c>
      <c r="K94" s="34">
        <f>(J94*4)-L94</f>
        <v>-66.73333333333332</v>
      </c>
      <c r="L94" s="35">
        <v>287</v>
      </c>
      <c r="M94" s="23">
        <f>(L94/I94)*100</f>
        <v>34.745762711864408</v>
      </c>
      <c r="N94" s="35">
        <v>0</v>
      </c>
      <c r="O94" s="23">
        <f>(N94/I94)*100</f>
        <v>0</v>
      </c>
      <c r="P94" s="35">
        <v>0</v>
      </c>
    </row>
    <row r="95" spans="1:16" ht="19.5" x14ac:dyDescent="0.25">
      <c r="A95" s="9">
        <v>94</v>
      </c>
      <c r="B95" s="9">
        <v>188</v>
      </c>
      <c r="C95" s="13" t="s">
        <v>210</v>
      </c>
      <c r="D95" s="14">
        <v>7023146804</v>
      </c>
      <c r="E95" s="9" t="s">
        <v>325</v>
      </c>
      <c r="F95" s="10">
        <v>6</v>
      </c>
      <c r="G95" s="10" t="s">
        <v>211</v>
      </c>
      <c r="H95" s="9">
        <v>8441919940</v>
      </c>
      <c r="I95" s="28">
        <v>774</v>
      </c>
      <c r="J95" s="30">
        <f>I95/15</f>
        <v>51.6</v>
      </c>
      <c r="K95" s="34">
        <f>(J95*4)-L95</f>
        <v>-69.599999999999994</v>
      </c>
      <c r="L95" s="35">
        <v>276</v>
      </c>
      <c r="M95" s="23">
        <f>(L95/I95)*100</f>
        <v>35.65891472868217</v>
      </c>
      <c r="N95" s="35">
        <v>0</v>
      </c>
      <c r="O95" s="23">
        <f>(N95/I95)*100</f>
        <v>0</v>
      </c>
      <c r="P95" s="35">
        <v>1</v>
      </c>
    </row>
    <row r="96" spans="1:16" ht="19.5" x14ac:dyDescent="0.25">
      <c r="A96" s="9">
        <v>95</v>
      </c>
      <c r="B96" s="9">
        <v>171</v>
      </c>
      <c r="C96" s="13" t="s">
        <v>195</v>
      </c>
      <c r="D96" s="9">
        <v>7062737234</v>
      </c>
      <c r="E96" s="9" t="s">
        <v>325</v>
      </c>
      <c r="F96" s="10">
        <v>5</v>
      </c>
      <c r="G96" s="10" t="s">
        <v>95</v>
      </c>
      <c r="H96" s="9">
        <v>9001623468</v>
      </c>
      <c r="I96" s="28">
        <v>567</v>
      </c>
      <c r="J96" s="30">
        <f>I96/15</f>
        <v>37.799999999999997</v>
      </c>
      <c r="K96" s="34">
        <f>(J96*4)-L96</f>
        <v>-123.80000000000001</v>
      </c>
      <c r="L96" s="35">
        <v>275</v>
      </c>
      <c r="M96" s="23">
        <f>(L96/I96)*100</f>
        <v>48.500881834215164</v>
      </c>
      <c r="N96" s="35">
        <v>0</v>
      </c>
      <c r="O96" s="23">
        <f>(N96/I96)*100</f>
        <v>0</v>
      </c>
      <c r="P96" s="35">
        <v>1</v>
      </c>
    </row>
    <row r="97" spans="1:16" ht="19.5" x14ac:dyDescent="0.25">
      <c r="A97" s="9">
        <v>96</v>
      </c>
      <c r="B97" s="9">
        <v>96</v>
      </c>
      <c r="C97" s="13" t="s">
        <v>113</v>
      </c>
      <c r="D97" s="14">
        <v>9799859072</v>
      </c>
      <c r="E97" s="11" t="s">
        <v>112</v>
      </c>
      <c r="F97" s="10">
        <v>29</v>
      </c>
      <c r="G97" s="10" t="s">
        <v>114</v>
      </c>
      <c r="H97" s="9">
        <v>6376143529</v>
      </c>
      <c r="I97" s="28">
        <v>1424</v>
      </c>
      <c r="J97" s="30">
        <f>I97/15</f>
        <v>94.933333333333337</v>
      </c>
      <c r="K97" s="34">
        <f>(J97*4)-L97</f>
        <v>235.73333333333335</v>
      </c>
      <c r="L97" s="35">
        <v>144</v>
      </c>
      <c r="M97" s="23">
        <f>(L97/I97)*100</f>
        <v>10.112359550561797</v>
      </c>
      <c r="N97" s="35">
        <v>0</v>
      </c>
      <c r="O97" s="23">
        <f>(N97/I97)*100</f>
        <v>0</v>
      </c>
      <c r="P97" s="35">
        <v>1</v>
      </c>
    </row>
    <row r="98" spans="1:16" ht="19.5" x14ac:dyDescent="0.25">
      <c r="A98" s="9">
        <v>97</v>
      </c>
      <c r="B98" s="9">
        <v>100</v>
      </c>
      <c r="C98" s="13" t="s">
        <v>118</v>
      </c>
      <c r="D98" s="14">
        <v>9928658113</v>
      </c>
      <c r="E98" s="11" t="s">
        <v>112</v>
      </c>
      <c r="F98" s="10">
        <v>29</v>
      </c>
      <c r="G98" s="10" t="s">
        <v>114</v>
      </c>
      <c r="H98" s="9">
        <v>6376143529</v>
      </c>
      <c r="I98" s="28">
        <v>1128</v>
      </c>
      <c r="J98" s="30">
        <f>I98/15</f>
        <v>75.2</v>
      </c>
      <c r="K98" s="34">
        <f>(J98*4)-L98</f>
        <v>173.8</v>
      </c>
      <c r="L98" s="35">
        <v>127</v>
      </c>
      <c r="M98" s="23">
        <f>(L98/I98)*100</f>
        <v>11.25886524822695</v>
      </c>
      <c r="N98" s="35">
        <v>0</v>
      </c>
      <c r="O98" s="23">
        <f>(N98/I98)*100</f>
        <v>0</v>
      </c>
      <c r="P98" s="35">
        <v>1</v>
      </c>
    </row>
    <row r="99" spans="1:16" ht="19.5" x14ac:dyDescent="0.25">
      <c r="A99" s="9">
        <v>98</v>
      </c>
      <c r="B99" s="9">
        <v>101</v>
      </c>
      <c r="C99" s="13" t="s">
        <v>119</v>
      </c>
      <c r="D99" s="14">
        <v>8890158941</v>
      </c>
      <c r="E99" s="11" t="s">
        <v>112</v>
      </c>
      <c r="F99" s="10">
        <v>29</v>
      </c>
      <c r="G99" s="10" t="s">
        <v>114</v>
      </c>
      <c r="H99" s="9">
        <v>6376143529</v>
      </c>
      <c r="I99" s="28">
        <v>1336</v>
      </c>
      <c r="J99" s="30">
        <f>I99/15</f>
        <v>89.066666666666663</v>
      </c>
      <c r="K99" s="34">
        <f>(J99*4)-L99</f>
        <v>193.26666666666665</v>
      </c>
      <c r="L99" s="35">
        <v>163</v>
      </c>
      <c r="M99" s="23">
        <f>(L99/I99)*100</f>
        <v>12.200598802395209</v>
      </c>
      <c r="N99" s="35">
        <v>0</v>
      </c>
      <c r="O99" s="23">
        <f>(N99/I99)*100</f>
        <v>0</v>
      </c>
      <c r="P99" s="35">
        <v>1</v>
      </c>
    </row>
    <row r="100" spans="1:16" ht="19.5" x14ac:dyDescent="0.25">
      <c r="A100" s="9">
        <v>99</v>
      </c>
      <c r="B100" s="9">
        <v>112</v>
      </c>
      <c r="C100" s="13" t="s">
        <v>131</v>
      </c>
      <c r="D100" s="14">
        <v>9928198226</v>
      </c>
      <c r="E100" s="11" t="s">
        <v>112</v>
      </c>
      <c r="F100" s="10">
        <v>32</v>
      </c>
      <c r="G100" s="10" t="s">
        <v>127</v>
      </c>
      <c r="H100" s="9">
        <v>9783272747</v>
      </c>
      <c r="I100" s="28">
        <v>1111</v>
      </c>
      <c r="J100" s="30">
        <f>I100/15</f>
        <v>74.066666666666663</v>
      </c>
      <c r="K100" s="34">
        <f>(J100*4)-L100</f>
        <v>156.26666666666665</v>
      </c>
      <c r="L100" s="35">
        <v>140</v>
      </c>
      <c r="M100" s="23">
        <f>(L100/I100)*100</f>
        <v>12.601260126012601</v>
      </c>
      <c r="N100" s="35">
        <v>0</v>
      </c>
      <c r="O100" s="23">
        <f>(N100/I100)*100</f>
        <v>0</v>
      </c>
      <c r="P100" s="35">
        <v>1</v>
      </c>
    </row>
    <row r="101" spans="1:16" ht="19.5" x14ac:dyDescent="0.25">
      <c r="A101" s="9">
        <v>100</v>
      </c>
      <c r="B101" s="9">
        <v>127</v>
      </c>
      <c r="C101" s="13" t="s">
        <v>146</v>
      </c>
      <c r="D101" s="14">
        <v>7568493518</v>
      </c>
      <c r="E101" s="11" t="s">
        <v>112</v>
      </c>
      <c r="F101" s="10">
        <v>32</v>
      </c>
      <c r="G101" s="10" t="s">
        <v>127</v>
      </c>
      <c r="H101" s="9">
        <v>9783272747</v>
      </c>
      <c r="I101" s="28">
        <v>1147</v>
      </c>
      <c r="J101" s="30">
        <f>I101/15</f>
        <v>76.466666666666669</v>
      </c>
      <c r="K101" s="34">
        <f>(J101*4)-L101</f>
        <v>157.86666666666667</v>
      </c>
      <c r="L101" s="35">
        <v>148</v>
      </c>
      <c r="M101" s="23">
        <f>(L101/I101)*100</f>
        <v>12.903225806451612</v>
      </c>
      <c r="N101" s="35">
        <v>0</v>
      </c>
      <c r="O101" s="23">
        <f>(N101/I101)*100</f>
        <v>0</v>
      </c>
      <c r="P101" s="35">
        <v>1</v>
      </c>
    </row>
    <row r="102" spans="1:16" ht="19.5" x14ac:dyDescent="0.25">
      <c r="A102" s="9">
        <v>101</v>
      </c>
      <c r="B102" s="9">
        <v>128</v>
      </c>
      <c r="C102" s="13" t="s">
        <v>147</v>
      </c>
      <c r="D102" s="14">
        <v>9166914362</v>
      </c>
      <c r="E102" s="11" t="s">
        <v>112</v>
      </c>
      <c r="F102" s="10">
        <v>29</v>
      </c>
      <c r="G102" s="10" t="s">
        <v>114</v>
      </c>
      <c r="H102" s="9">
        <v>6376143529</v>
      </c>
      <c r="I102" s="28">
        <v>1199</v>
      </c>
      <c r="J102" s="30">
        <f>I102/15</f>
        <v>79.933333333333337</v>
      </c>
      <c r="K102" s="34">
        <f>(J102*4)-L102</f>
        <v>161.73333333333335</v>
      </c>
      <c r="L102" s="35">
        <v>158</v>
      </c>
      <c r="M102" s="23">
        <f>(L102/I102)*100</f>
        <v>13.177648040033359</v>
      </c>
      <c r="N102" s="35">
        <v>0</v>
      </c>
      <c r="O102" s="23">
        <f>(N102/I102)*100</f>
        <v>0</v>
      </c>
      <c r="P102" s="35">
        <v>1</v>
      </c>
    </row>
    <row r="103" spans="1:16" ht="19.5" x14ac:dyDescent="0.25">
      <c r="A103" s="9">
        <v>102</v>
      </c>
      <c r="B103" s="9">
        <v>114</v>
      </c>
      <c r="C103" s="13" t="s">
        <v>133</v>
      </c>
      <c r="D103" s="14">
        <v>8107329903</v>
      </c>
      <c r="E103" s="11" t="s">
        <v>112</v>
      </c>
      <c r="F103" s="10">
        <v>32</v>
      </c>
      <c r="G103" s="10" t="s">
        <v>127</v>
      </c>
      <c r="H103" s="9">
        <v>9783272747</v>
      </c>
      <c r="I103" s="28">
        <v>1207</v>
      </c>
      <c r="J103" s="30">
        <f>I103/15</f>
        <v>80.466666666666669</v>
      </c>
      <c r="K103" s="34">
        <f>(J103*4)-L103</f>
        <v>157.86666666666667</v>
      </c>
      <c r="L103" s="35">
        <v>164</v>
      </c>
      <c r="M103" s="23">
        <f>(L103/I103)*100</f>
        <v>13.587406793703396</v>
      </c>
      <c r="N103" s="35">
        <v>0</v>
      </c>
      <c r="O103" s="23">
        <f>(N103/I103)*100</f>
        <v>0</v>
      </c>
      <c r="P103" s="35">
        <v>1</v>
      </c>
    </row>
    <row r="104" spans="1:16" ht="19.5" x14ac:dyDescent="0.25">
      <c r="A104" s="9">
        <v>103</v>
      </c>
      <c r="B104" s="9">
        <v>113</v>
      </c>
      <c r="C104" s="13" t="s">
        <v>132</v>
      </c>
      <c r="D104" s="14">
        <v>8003343088</v>
      </c>
      <c r="E104" s="11" t="s">
        <v>112</v>
      </c>
      <c r="F104" s="10">
        <v>32</v>
      </c>
      <c r="G104" s="10" t="s">
        <v>127</v>
      </c>
      <c r="H104" s="9">
        <v>9783272747</v>
      </c>
      <c r="I104" s="28">
        <v>1463</v>
      </c>
      <c r="J104" s="30">
        <f>I104/15</f>
        <v>97.533333333333331</v>
      </c>
      <c r="K104" s="34">
        <f>(J104*4)-L104</f>
        <v>186.13333333333333</v>
      </c>
      <c r="L104" s="35">
        <v>204</v>
      </c>
      <c r="M104" s="23">
        <f>(L104/I104)*100</f>
        <v>13.94395078605605</v>
      </c>
      <c r="N104" s="35">
        <v>0</v>
      </c>
      <c r="O104" s="23">
        <f>(N104/I104)*100</f>
        <v>0</v>
      </c>
      <c r="P104" s="35">
        <v>1</v>
      </c>
    </row>
    <row r="105" spans="1:16" ht="19.5" x14ac:dyDescent="0.25">
      <c r="A105" s="9">
        <v>104</v>
      </c>
      <c r="B105" s="9">
        <v>102</v>
      </c>
      <c r="C105" s="13" t="s">
        <v>119</v>
      </c>
      <c r="D105" s="14">
        <v>9928770288</v>
      </c>
      <c r="E105" s="11" t="s">
        <v>112</v>
      </c>
      <c r="F105" s="10">
        <v>29</v>
      </c>
      <c r="G105" s="10" t="s">
        <v>114</v>
      </c>
      <c r="H105" s="9">
        <v>6376143529</v>
      </c>
      <c r="I105" s="28">
        <v>1128</v>
      </c>
      <c r="J105" s="30">
        <f>I105/15</f>
        <v>75.2</v>
      </c>
      <c r="K105" s="34">
        <f>(J105*4)-L105</f>
        <v>133.80000000000001</v>
      </c>
      <c r="L105" s="35">
        <v>167</v>
      </c>
      <c r="M105" s="23">
        <f>(L105/I105)*100</f>
        <v>14.804964539007093</v>
      </c>
      <c r="N105" s="35">
        <v>0</v>
      </c>
      <c r="O105" s="23">
        <f>(N105/I105)*100</f>
        <v>0</v>
      </c>
      <c r="P105" s="35">
        <v>1</v>
      </c>
    </row>
    <row r="106" spans="1:16" ht="19.5" x14ac:dyDescent="0.25">
      <c r="A106" s="9">
        <v>105</v>
      </c>
      <c r="B106" s="9">
        <v>97</v>
      </c>
      <c r="C106" s="13" t="s">
        <v>115</v>
      </c>
      <c r="D106" s="14">
        <v>9929342787</v>
      </c>
      <c r="E106" s="11" t="s">
        <v>112</v>
      </c>
      <c r="F106" s="10">
        <v>29</v>
      </c>
      <c r="G106" s="10" t="s">
        <v>114</v>
      </c>
      <c r="H106" s="9">
        <v>6376143529</v>
      </c>
      <c r="I106" s="28">
        <v>1471</v>
      </c>
      <c r="J106" s="30">
        <f>I106/15</f>
        <v>98.066666666666663</v>
      </c>
      <c r="K106" s="34">
        <f>(J106*4)-L106</f>
        <v>168.26666666666665</v>
      </c>
      <c r="L106" s="35">
        <v>224</v>
      </c>
      <c r="M106" s="23">
        <f>(L106/I106)*100</f>
        <v>15.227736233854522</v>
      </c>
      <c r="N106" s="35">
        <v>0</v>
      </c>
      <c r="O106" s="23">
        <f>(N106/I106)*100</f>
        <v>0</v>
      </c>
      <c r="P106" s="35">
        <v>0</v>
      </c>
    </row>
    <row r="107" spans="1:16" ht="19.5" x14ac:dyDescent="0.25">
      <c r="A107" s="9">
        <v>106</v>
      </c>
      <c r="B107" s="9">
        <v>99</v>
      </c>
      <c r="C107" s="13" t="s">
        <v>117</v>
      </c>
      <c r="D107" s="14">
        <v>6378509574</v>
      </c>
      <c r="E107" s="11" t="s">
        <v>112</v>
      </c>
      <c r="F107" s="10">
        <v>29</v>
      </c>
      <c r="G107" s="10" t="s">
        <v>114</v>
      </c>
      <c r="H107" s="9">
        <v>6376143529</v>
      </c>
      <c r="I107" s="28">
        <v>1071</v>
      </c>
      <c r="J107" s="30">
        <f>I107/15</f>
        <v>71.400000000000006</v>
      </c>
      <c r="K107" s="34">
        <f>(J107*4)-L107</f>
        <v>112.60000000000002</v>
      </c>
      <c r="L107" s="35">
        <v>173</v>
      </c>
      <c r="M107" s="23">
        <f>(L107/I107)*100</f>
        <v>16.1531279178338</v>
      </c>
      <c r="N107" s="35">
        <v>0</v>
      </c>
      <c r="O107" s="23">
        <f>(N107/I107)*100</f>
        <v>0</v>
      </c>
      <c r="P107" s="35">
        <v>1</v>
      </c>
    </row>
    <row r="108" spans="1:16" ht="19.5" x14ac:dyDescent="0.25">
      <c r="A108" s="9">
        <v>107</v>
      </c>
      <c r="B108" s="9">
        <v>107</v>
      </c>
      <c r="C108" s="13" t="s">
        <v>125</v>
      </c>
      <c r="D108" s="14">
        <v>9983139676</v>
      </c>
      <c r="E108" s="11" t="s">
        <v>112</v>
      </c>
      <c r="F108" s="10">
        <v>32</v>
      </c>
      <c r="G108" s="10" t="s">
        <v>127</v>
      </c>
      <c r="H108" s="9">
        <v>9783272747</v>
      </c>
      <c r="I108" s="28">
        <v>1382</v>
      </c>
      <c r="J108" s="30">
        <f>I108/15</f>
        <v>92.13333333333334</v>
      </c>
      <c r="K108" s="34">
        <f>(J108*4)-L108</f>
        <v>70.53333333333336</v>
      </c>
      <c r="L108" s="35">
        <v>298</v>
      </c>
      <c r="M108" s="23">
        <f>(L108/I108)*100</f>
        <v>21.562952243125906</v>
      </c>
      <c r="N108" s="35">
        <v>0</v>
      </c>
      <c r="O108" s="23">
        <f>(N108/I108)*100</f>
        <v>0</v>
      </c>
      <c r="P108" s="35">
        <v>1</v>
      </c>
    </row>
    <row r="109" spans="1:16" ht="19.5" x14ac:dyDescent="0.25">
      <c r="A109" s="9">
        <v>108</v>
      </c>
      <c r="B109" s="9">
        <v>103</v>
      </c>
      <c r="C109" s="13" t="s">
        <v>120</v>
      </c>
      <c r="D109" s="14">
        <v>9636652210</v>
      </c>
      <c r="E109" s="11" t="s">
        <v>112</v>
      </c>
      <c r="F109" s="10">
        <v>29</v>
      </c>
      <c r="G109" s="10" t="s">
        <v>114</v>
      </c>
      <c r="H109" s="9">
        <v>6376143529</v>
      </c>
      <c r="I109" s="28">
        <v>771</v>
      </c>
      <c r="J109" s="30">
        <f>I109/15</f>
        <v>51.4</v>
      </c>
      <c r="K109" s="34">
        <f>(J109*4)-L109</f>
        <v>28.599999999999994</v>
      </c>
      <c r="L109" s="35">
        <v>177</v>
      </c>
      <c r="M109" s="23">
        <f>(L109/I109)*100</f>
        <v>22.957198443579767</v>
      </c>
      <c r="N109" s="35">
        <v>0</v>
      </c>
      <c r="O109" s="23">
        <f>(N109/I109)*100</f>
        <v>0</v>
      </c>
      <c r="P109" s="35">
        <v>1</v>
      </c>
    </row>
    <row r="110" spans="1:16" ht="19.5" x14ac:dyDescent="0.25">
      <c r="A110" s="9">
        <v>109</v>
      </c>
      <c r="B110" s="9">
        <v>117</v>
      </c>
      <c r="C110" s="13" t="s">
        <v>135</v>
      </c>
      <c r="D110" s="14">
        <v>9571442947</v>
      </c>
      <c r="E110" s="11" t="s">
        <v>112</v>
      </c>
      <c r="F110" s="10">
        <v>30</v>
      </c>
      <c r="G110" s="10" t="s">
        <v>122</v>
      </c>
      <c r="H110" s="9">
        <v>9001753884</v>
      </c>
      <c r="I110" s="28">
        <v>1381</v>
      </c>
      <c r="J110" s="30">
        <f>I110/15</f>
        <v>92.066666666666663</v>
      </c>
      <c r="K110" s="34">
        <f>(J110*4)-L110</f>
        <v>4.2666666666666515</v>
      </c>
      <c r="L110" s="35">
        <v>364</v>
      </c>
      <c r="M110" s="23">
        <f>(L110/I110)*100</f>
        <v>26.357711803041273</v>
      </c>
      <c r="N110" s="35">
        <v>0</v>
      </c>
      <c r="O110" s="23">
        <f>(N110/I110)*100</f>
        <v>0</v>
      </c>
      <c r="P110" s="35">
        <v>1</v>
      </c>
    </row>
    <row r="111" spans="1:16" ht="19.5" x14ac:dyDescent="0.25">
      <c r="A111" s="9">
        <v>110</v>
      </c>
      <c r="B111" s="9">
        <v>108</v>
      </c>
      <c r="C111" s="13" t="s">
        <v>128</v>
      </c>
      <c r="D111" s="14">
        <v>9799309224</v>
      </c>
      <c r="E111" s="11" t="s">
        <v>112</v>
      </c>
      <c r="F111" s="10">
        <v>32</v>
      </c>
      <c r="G111" s="10" t="s">
        <v>127</v>
      </c>
      <c r="H111" s="9">
        <v>9783272747</v>
      </c>
      <c r="I111" s="28">
        <v>991</v>
      </c>
      <c r="J111" s="30">
        <f>I111/15</f>
        <v>66.066666666666663</v>
      </c>
      <c r="K111" s="34">
        <f>(J111*4)-L111</f>
        <v>2.2666666666666515</v>
      </c>
      <c r="L111" s="35">
        <v>262</v>
      </c>
      <c r="M111" s="23">
        <f>(L111/I111)*100</f>
        <v>26.437941473259336</v>
      </c>
      <c r="N111" s="35">
        <v>0</v>
      </c>
      <c r="O111" s="23">
        <f>(N111/I111)*100</f>
        <v>0</v>
      </c>
      <c r="P111" s="35">
        <v>1</v>
      </c>
    </row>
    <row r="112" spans="1:16" ht="19.5" x14ac:dyDescent="0.25">
      <c r="A112" s="9">
        <v>111</v>
      </c>
      <c r="B112" s="9">
        <v>104</v>
      </c>
      <c r="C112" s="13" t="s">
        <v>121</v>
      </c>
      <c r="D112" s="14">
        <v>9799638687</v>
      </c>
      <c r="E112" s="11" t="s">
        <v>112</v>
      </c>
      <c r="F112" s="10">
        <v>30</v>
      </c>
      <c r="G112" s="10" t="s">
        <v>122</v>
      </c>
      <c r="H112" s="9">
        <v>9001753884</v>
      </c>
      <c r="I112" s="28">
        <v>1452</v>
      </c>
      <c r="J112" s="30">
        <f>I112/15</f>
        <v>96.8</v>
      </c>
      <c r="K112" s="34">
        <f>(J112*4)-L112</f>
        <v>-18.800000000000011</v>
      </c>
      <c r="L112" s="35">
        <v>406</v>
      </c>
      <c r="M112" s="23">
        <f>(L112/I112)*100</f>
        <v>27.96143250688705</v>
      </c>
      <c r="N112" s="35">
        <v>0</v>
      </c>
      <c r="O112" s="23">
        <f>(N112/I112)*100</f>
        <v>0</v>
      </c>
      <c r="P112" s="35">
        <v>1</v>
      </c>
    </row>
    <row r="113" spans="1:16" ht="19.5" x14ac:dyDescent="0.25">
      <c r="A113" s="9">
        <v>112</v>
      </c>
      <c r="B113" s="9">
        <v>105</v>
      </c>
      <c r="C113" s="13" t="s">
        <v>123</v>
      </c>
      <c r="D113" s="14">
        <v>9828010740</v>
      </c>
      <c r="E113" s="11" t="s">
        <v>112</v>
      </c>
      <c r="F113" s="10">
        <v>30</v>
      </c>
      <c r="G113" s="10" t="s">
        <v>122</v>
      </c>
      <c r="H113" s="9">
        <v>9001753884</v>
      </c>
      <c r="I113" s="28">
        <v>1472</v>
      </c>
      <c r="J113" s="30">
        <f>I113/15</f>
        <v>98.13333333333334</v>
      </c>
      <c r="K113" s="34">
        <f>(J113*4)-L113</f>
        <v>-29.46666666666664</v>
      </c>
      <c r="L113" s="35">
        <v>422</v>
      </c>
      <c r="M113" s="23">
        <f>(L113/I113)*100</f>
        <v>28.668478260869566</v>
      </c>
      <c r="N113" s="35">
        <v>0</v>
      </c>
      <c r="O113" s="23">
        <f>(N113/I113)*100</f>
        <v>0</v>
      </c>
      <c r="P113" s="35">
        <v>0</v>
      </c>
    </row>
    <row r="114" spans="1:16" ht="19.5" x14ac:dyDescent="0.25">
      <c r="A114" s="9">
        <v>113</v>
      </c>
      <c r="B114" s="9">
        <v>98</v>
      </c>
      <c r="C114" s="13" t="s">
        <v>116</v>
      </c>
      <c r="D114" s="14">
        <v>9649978714</v>
      </c>
      <c r="E114" s="11" t="s">
        <v>112</v>
      </c>
      <c r="F114" s="10">
        <v>29</v>
      </c>
      <c r="G114" s="10" t="s">
        <v>114</v>
      </c>
      <c r="H114" s="9">
        <v>6376143529</v>
      </c>
      <c r="I114" s="28">
        <v>1305</v>
      </c>
      <c r="J114" s="30">
        <f>I114/15</f>
        <v>87</v>
      </c>
      <c r="K114" s="34">
        <f>(J114*4)-L114</f>
        <v>-33</v>
      </c>
      <c r="L114" s="35">
        <v>381</v>
      </c>
      <c r="M114" s="23">
        <f>(L114/I114)*100</f>
        <v>29.195402298850574</v>
      </c>
      <c r="N114" s="35">
        <v>0</v>
      </c>
      <c r="O114" s="23">
        <f>(N114/I114)*100</f>
        <v>0</v>
      </c>
      <c r="P114" s="35">
        <v>1</v>
      </c>
    </row>
    <row r="115" spans="1:16" ht="39" x14ac:dyDescent="0.25">
      <c r="A115" s="9">
        <v>114</v>
      </c>
      <c r="B115" s="9">
        <v>119</v>
      </c>
      <c r="C115" s="13" t="s">
        <v>137</v>
      </c>
      <c r="D115" s="14" t="s">
        <v>139</v>
      </c>
      <c r="E115" s="11" t="s">
        <v>112</v>
      </c>
      <c r="F115" s="10">
        <v>30</v>
      </c>
      <c r="G115" s="10" t="s">
        <v>122</v>
      </c>
      <c r="H115" s="9">
        <v>9001753884</v>
      </c>
      <c r="I115" s="28">
        <v>1358</v>
      </c>
      <c r="J115" s="30">
        <f>I115/15</f>
        <v>90.533333333333331</v>
      </c>
      <c r="K115" s="34">
        <f>(J115*4)-L115</f>
        <v>-36.866666666666674</v>
      </c>
      <c r="L115" s="35">
        <v>399</v>
      </c>
      <c r="M115" s="23">
        <f>(L115/I115)*100</f>
        <v>29.381443298969074</v>
      </c>
      <c r="N115" s="35">
        <v>0</v>
      </c>
      <c r="O115" s="23">
        <f>(N115/I115)*100</f>
        <v>0</v>
      </c>
      <c r="P115" s="35">
        <v>1</v>
      </c>
    </row>
    <row r="116" spans="1:16" ht="19.5" x14ac:dyDescent="0.25">
      <c r="A116" s="9">
        <v>115</v>
      </c>
      <c r="B116" s="9">
        <v>118</v>
      </c>
      <c r="C116" s="13" t="s">
        <v>136</v>
      </c>
      <c r="D116" s="14">
        <v>9660525324</v>
      </c>
      <c r="E116" s="11" t="s">
        <v>112</v>
      </c>
      <c r="F116" s="10">
        <v>30</v>
      </c>
      <c r="G116" s="10" t="s">
        <v>122</v>
      </c>
      <c r="H116" s="9">
        <v>9001753884</v>
      </c>
      <c r="I116" s="28">
        <v>1068</v>
      </c>
      <c r="J116" s="30">
        <f>I116/15</f>
        <v>71.2</v>
      </c>
      <c r="K116" s="34">
        <f>(J116*4)-L116</f>
        <v>-47.199999999999989</v>
      </c>
      <c r="L116" s="35">
        <v>332</v>
      </c>
      <c r="M116" s="23">
        <f>(L116/I116)*100</f>
        <v>31.086142322097377</v>
      </c>
      <c r="N116" s="35">
        <v>0</v>
      </c>
      <c r="O116" s="23">
        <f>(N116/I116)*100</f>
        <v>0</v>
      </c>
      <c r="P116" s="35">
        <v>1</v>
      </c>
    </row>
    <row r="117" spans="1:16" ht="19.5" x14ac:dyDescent="0.25">
      <c r="A117" s="9">
        <v>116</v>
      </c>
      <c r="B117" s="9">
        <v>111</v>
      </c>
      <c r="C117" s="13" t="s">
        <v>130</v>
      </c>
      <c r="D117" s="14">
        <v>7725956584</v>
      </c>
      <c r="E117" s="11" t="s">
        <v>112</v>
      </c>
      <c r="F117" s="10">
        <v>32</v>
      </c>
      <c r="G117" s="10" t="s">
        <v>127</v>
      </c>
      <c r="H117" s="9">
        <v>9783272747</v>
      </c>
      <c r="I117" s="28">
        <v>556</v>
      </c>
      <c r="J117" s="30">
        <f>I117/15</f>
        <v>37.06666666666667</v>
      </c>
      <c r="K117" s="34">
        <f>(J117*4)-L117</f>
        <v>-34.73333333333332</v>
      </c>
      <c r="L117" s="35">
        <v>183</v>
      </c>
      <c r="M117" s="23">
        <f>(L117/I117)*100</f>
        <v>32.913669064748206</v>
      </c>
      <c r="N117" s="35">
        <v>0</v>
      </c>
      <c r="O117" s="23">
        <f>(N117/I117)*100</f>
        <v>0</v>
      </c>
      <c r="P117" s="35">
        <v>1</v>
      </c>
    </row>
    <row r="118" spans="1:16" ht="39" x14ac:dyDescent="0.25">
      <c r="A118" s="9">
        <v>117</v>
      </c>
      <c r="B118" s="9">
        <v>106</v>
      </c>
      <c r="C118" s="13" t="s">
        <v>124</v>
      </c>
      <c r="D118" s="14" t="s">
        <v>126</v>
      </c>
      <c r="E118" s="11" t="s">
        <v>112</v>
      </c>
      <c r="F118" s="10">
        <v>30</v>
      </c>
      <c r="G118" s="10" t="s">
        <v>122</v>
      </c>
      <c r="H118" s="9">
        <v>9001753884</v>
      </c>
      <c r="I118" s="28">
        <v>1277</v>
      </c>
      <c r="J118" s="30">
        <f>I118/15</f>
        <v>85.13333333333334</v>
      </c>
      <c r="K118" s="34">
        <f>(J118*4)-L118</f>
        <v>-117.46666666666664</v>
      </c>
      <c r="L118" s="35">
        <v>458</v>
      </c>
      <c r="M118" s="23">
        <f>(L118/I118)*100</f>
        <v>35.865309318715738</v>
      </c>
      <c r="N118" s="35">
        <v>0</v>
      </c>
      <c r="O118" s="23">
        <f>(N118/I118)*100</f>
        <v>0</v>
      </c>
      <c r="P118" s="35">
        <v>1</v>
      </c>
    </row>
    <row r="119" spans="1:16" ht="19.5" x14ac:dyDescent="0.25">
      <c r="A119" s="9">
        <v>118</v>
      </c>
      <c r="B119" s="9">
        <v>115</v>
      </c>
      <c r="C119" s="13" t="s">
        <v>91</v>
      </c>
      <c r="D119" s="14">
        <v>8107366767</v>
      </c>
      <c r="E119" s="11" t="s">
        <v>112</v>
      </c>
      <c r="F119" s="10">
        <v>30</v>
      </c>
      <c r="G119" s="10" t="s">
        <v>122</v>
      </c>
      <c r="H119" s="9">
        <v>9001753884</v>
      </c>
      <c r="I119" s="28">
        <v>886</v>
      </c>
      <c r="J119" s="30">
        <f>I119/15</f>
        <v>59.06666666666667</v>
      </c>
      <c r="K119" s="34">
        <f>(J119*4)-L119</f>
        <v>-94.73333333333332</v>
      </c>
      <c r="L119" s="35">
        <v>331</v>
      </c>
      <c r="M119" s="23">
        <f>(L119/I119)*100</f>
        <v>37.358916478555301</v>
      </c>
      <c r="N119" s="35">
        <v>0</v>
      </c>
      <c r="O119" s="23">
        <f>(N119/I119)*100</f>
        <v>0</v>
      </c>
      <c r="P119" s="35">
        <v>1</v>
      </c>
    </row>
    <row r="120" spans="1:16" ht="19.5" x14ac:dyDescent="0.25">
      <c r="A120" s="9">
        <v>119</v>
      </c>
      <c r="B120" s="9">
        <v>116</v>
      </c>
      <c r="C120" s="13" t="s">
        <v>134</v>
      </c>
      <c r="D120" s="14">
        <v>9784296103</v>
      </c>
      <c r="E120" s="11" t="s">
        <v>112</v>
      </c>
      <c r="F120" s="10">
        <v>30</v>
      </c>
      <c r="G120" s="10" t="s">
        <v>122</v>
      </c>
      <c r="H120" s="9">
        <v>9001753884</v>
      </c>
      <c r="I120" s="28">
        <v>860</v>
      </c>
      <c r="J120" s="30">
        <f>I120/15</f>
        <v>57.333333333333336</v>
      </c>
      <c r="K120" s="34">
        <f>(J120*4)-L120</f>
        <v>-166.66666666666666</v>
      </c>
      <c r="L120" s="35">
        <v>396</v>
      </c>
      <c r="M120" s="23">
        <f>(L120/I120)*100</f>
        <v>46.04651162790698</v>
      </c>
      <c r="N120" s="35">
        <v>0</v>
      </c>
      <c r="O120" s="23">
        <f>(N120/I120)*100</f>
        <v>0</v>
      </c>
      <c r="P120" s="35">
        <v>0</v>
      </c>
    </row>
    <row r="121" spans="1:16" ht="19.5" x14ac:dyDescent="0.25">
      <c r="A121" s="9">
        <v>120</v>
      </c>
      <c r="B121" s="9">
        <v>110</v>
      </c>
      <c r="C121" s="13" t="s">
        <v>9</v>
      </c>
      <c r="D121" s="14">
        <v>9928239046</v>
      </c>
      <c r="E121" s="11" t="s">
        <v>112</v>
      </c>
      <c r="F121" s="10">
        <v>32</v>
      </c>
      <c r="G121" s="10" t="s">
        <v>127</v>
      </c>
      <c r="H121" s="9">
        <v>9783272747</v>
      </c>
      <c r="I121" s="28">
        <v>854</v>
      </c>
      <c r="J121" s="30">
        <f>I121/15</f>
        <v>56.93333333333333</v>
      </c>
      <c r="K121" s="34">
        <f>(J121*4)-L121</f>
        <v>-171.26666666666668</v>
      </c>
      <c r="L121" s="35">
        <v>399</v>
      </c>
      <c r="M121" s="23">
        <f>(L121/I121)*100</f>
        <v>46.721311475409841</v>
      </c>
      <c r="N121" s="35">
        <v>0</v>
      </c>
      <c r="O121" s="23">
        <f>(N121/I121)*100</f>
        <v>0</v>
      </c>
      <c r="P121" s="35">
        <v>0</v>
      </c>
    </row>
    <row r="122" spans="1:16" ht="19.5" x14ac:dyDescent="0.25">
      <c r="A122" s="9">
        <v>121</v>
      </c>
      <c r="B122" s="9">
        <v>109</v>
      </c>
      <c r="C122" s="13" t="s">
        <v>129</v>
      </c>
      <c r="D122" s="14">
        <v>9799879640</v>
      </c>
      <c r="E122" s="11" t="s">
        <v>112</v>
      </c>
      <c r="F122" s="10">
        <v>32</v>
      </c>
      <c r="G122" s="10" t="s">
        <v>127</v>
      </c>
      <c r="H122" s="9">
        <v>9783272747</v>
      </c>
      <c r="I122" s="28">
        <v>645</v>
      </c>
      <c r="J122" s="30">
        <f>I122/15</f>
        <v>43</v>
      </c>
      <c r="K122" s="34">
        <f>(J122*4)-L122</f>
        <v>-131</v>
      </c>
      <c r="L122" s="35">
        <v>303</v>
      </c>
      <c r="M122" s="23">
        <f>(L122/I122)*100</f>
        <v>46.97674418604651</v>
      </c>
      <c r="N122" s="35">
        <v>0</v>
      </c>
      <c r="O122" s="23">
        <f>(N122/I122)*100</f>
        <v>0</v>
      </c>
      <c r="P122" s="35">
        <v>1</v>
      </c>
    </row>
    <row r="123" spans="1:16" ht="19.5" x14ac:dyDescent="0.25">
      <c r="A123" s="9">
        <v>122</v>
      </c>
      <c r="B123" s="9">
        <v>30</v>
      </c>
      <c r="C123" s="16" t="s">
        <v>41</v>
      </c>
      <c r="D123" s="15">
        <v>9784232434</v>
      </c>
      <c r="E123" s="11" t="s">
        <v>18</v>
      </c>
      <c r="F123" s="10">
        <v>13</v>
      </c>
      <c r="G123" s="10" t="s">
        <v>20</v>
      </c>
      <c r="H123" s="9">
        <v>9602891066</v>
      </c>
      <c r="I123" s="28">
        <v>1097</v>
      </c>
      <c r="J123" s="30">
        <f>I123/15</f>
        <v>73.13333333333334</v>
      </c>
      <c r="K123" s="34">
        <f>(J123*4)-L123</f>
        <v>224.53333333333336</v>
      </c>
      <c r="L123" s="35">
        <v>68</v>
      </c>
      <c r="M123" s="23">
        <f>(L123/I123)*100</f>
        <v>6.1987237921604379</v>
      </c>
      <c r="N123" s="35">
        <v>0</v>
      </c>
      <c r="O123" s="23">
        <f>(N123/I123)*100</f>
        <v>0</v>
      </c>
      <c r="P123" s="35">
        <v>1</v>
      </c>
    </row>
    <row r="124" spans="1:16" ht="19.5" x14ac:dyDescent="0.25">
      <c r="A124" s="9">
        <v>123</v>
      </c>
      <c r="B124" s="9">
        <v>29</v>
      </c>
      <c r="C124" s="13" t="s">
        <v>40</v>
      </c>
      <c r="D124" s="15">
        <v>9460334430</v>
      </c>
      <c r="E124" s="11" t="s">
        <v>18</v>
      </c>
      <c r="F124" s="10">
        <v>16</v>
      </c>
      <c r="G124" s="10" t="s">
        <v>35</v>
      </c>
      <c r="H124" s="9">
        <v>9928482655</v>
      </c>
      <c r="I124" s="28">
        <v>650</v>
      </c>
      <c r="J124" s="30">
        <f>I124/15</f>
        <v>43.333333333333336</v>
      </c>
      <c r="K124" s="34">
        <f>(J124*4)-L124</f>
        <v>118.33333333333334</v>
      </c>
      <c r="L124" s="35">
        <v>55</v>
      </c>
      <c r="M124" s="23">
        <f>(L124/I124)*100</f>
        <v>8.4615384615384617</v>
      </c>
      <c r="N124" s="35">
        <v>0</v>
      </c>
      <c r="O124" s="23">
        <f>(N124/I124)*100</f>
        <v>0</v>
      </c>
      <c r="P124" s="35">
        <v>1</v>
      </c>
    </row>
    <row r="125" spans="1:16" ht="19.5" x14ac:dyDescent="0.25">
      <c r="A125" s="9">
        <v>124</v>
      </c>
      <c r="B125" s="9">
        <v>42</v>
      </c>
      <c r="C125" s="13" t="s">
        <v>54</v>
      </c>
      <c r="D125" s="14">
        <v>9784095625</v>
      </c>
      <c r="E125" s="11" t="s">
        <v>18</v>
      </c>
      <c r="F125" s="10">
        <v>15</v>
      </c>
      <c r="G125" s="10" t="s">
        <v>46</v>
      </c>
      <c r="H125" s="9">
        <v>9660396640</v>
      </c>
      <c r="I125" s="28">
        <v>1276</v>
      </c>
      <c r="J125" s="30">
        <f>I125/15</f>
        <v>85.066666666666663</v>
      </c>
      <c r="K125" s="34">
        <f>(J125*4)-L125</f>
        <v>223.26666666666665</v>
      </c>
      <c r="L125" s="35">
        <v>117</v>
      </c>
      <c r="M125" s="23">
        <f>(L125/I125)*100</f>
        <v>9.169278996865204</v>
      </c>
      <c r="N125" s="35">
        <v>0</v>
      </c>
      <c r="O125" s="23">
        <f>(N125/I125)*100</f>
        <v>0</v>
      </c>
      <c r="P125" s="35">
        <v>1</v>
      </c>
    </row>
    <row r="126" spans="1:16" ht="19.5" x14ac:dyDescent="0.25">
      <c r="A126" s="9">
        <v>125</v>
      </c>
      <c r="B126" s="9">
        <v>32</v>
      </c>
      <c r="C126" s="13" t="s">
        <v>43</v>
      </c>
      <c r="D126" s="14">
        <v>9602168875</v>
      </c>
      <c r="E126" s="11" t="s">
        <v>18</v>
      </c>
      <c r="F126" s="10">
        <v>13</v>
      </c>
      <c r="G126" s="10" t="s">
        <v>20</v>
      </c>
      <c r="H126" s="9">
        <v>9602891066</v>
      </c>
      <c r="I126" s="28">
        <v>1085</v>
      </c>
      <c r="J126" s="30">
        <f>I126/15</f>
        <v>72.333333333333329</v>
      </c>
      <c r="K126" s="34">
        <f>(J126*4)-L126</f>
        <v>176.33333333333331</v>
      </c>
      <c r="L126" s="35">
        <v>113</v>
      </c>
      <c r="M126" s="23">
        <f>(L126/I126)*100</f>
        <v>10.414746543778802</v>
      </c>
      <c r="N126" s="35">
        <v>0</v>
      </c>
      <c r="O126" s="23">
        <f>(N126/I126)*100</f>
        <v>0</v>
      </c>
      <c r="P126" s="35">
        <v>1</v>
      </c>
    </row>
    <row r="127" spans="1:16" ht="39" x14ac:dyDescent="0.25">
      <c r="A127" s="9">
        <v>126</v>
      </c>
      <c r="B127" s="9">
        <v>49</v>
      </c>
      <c r="C127" s="13" t="s">
        <v>62</v>
      </c>
      <c r="D127" s="15" t="s">
        <v>64</v>
      </c>
      <c r="E127" s="11" t="s">
        <v>18</v>
      </c>
      <c r="F127" s="10">
        <v>16</v>
      </c>
      <c r="G127" s="10" t="s">
        <v>35</v>
      </c>
      <c r="H127" s="9">
        <v>9928482655</v>
      </c>
      <c r="I127" s="28">
        <v>1062</v>
      </c>
      <c r="J127" s="30">
        <f>I127/15</f>
        <v>70.8</v>
      </c>
      <c r="K127" s="34">
        <f>(J127*4)-L127</f>
        <v>172.2</v>
      </c>
      <c r="L127" s="35">
        <v>111</v>
      </c>
      <c r="M127" s="23">
        <f>(L127/I127)*100</f>
        <v>10.451977401129943</v>
      </c>
      <c r="N127" s="35">
        <v>0</v>
      </c>
      <c r="O127" s="23">
        <f>(N127/I127)*100</f>
        <v>0</v>
      </c>
      <c r="P127" s="35">
        <v>1</v>
      </c>
    </row>
    <row r="128" spans="1:16" ht="19.5" x14ac:dyDescent="0.25">
      <c r="A128" s="9">
        <v>127</v>
      </c>
      <c r="B128" s="9">
        <v>35</v>
      </c>
      <c r="C128" s="13" t="s">
        <v>47</v>
      </c>
      <c r="D128" s="15">
        <v>9784159744</v>
      </c>
      <c r="E128" s="11" t="s">
        <v>18</v>
      </c>
      <c r="F128" s="10">
        <v>15</v>
      </c>
      <c r="G128" s="10" t="s">
        <v>46</v>
      </c>
      <c r="H128" s="9">
        <v>9660396640</v>
      </c>
      <c r="I128" s="28">
        <v>1243</v>
      </c>
      <c r="J128" s="30">
        <f>I128/15</f>
        <v>82.86666666666666</v>
      </c>
      <c r="K128" s="34">
        <f>(J128*4)-L128</f>
        <v>201.46666666666664</v>
      </c>
      <c r="L128" s="35">
        <v>130</v>
      </c>
      <c r="M128" s="23">
        <f>(L128/I128)*100</f>
        <v>10.458567980691875</v>
      </c>
      <c r="N128" s="35">
        <v>0</v>
      </c>
      <c r="O128" s="23">
        <f>(N128/I128)*100</f>
        <v>0</v>
      </c>
      <c r="P128" s="35">
        <v>1</v>
      </c>
    </row>
    <row r="129" spans="1:16" ht="19.5" x14ac:dyDescent="0.25">
      <c r="A129" s="9">
        <v>128</v>
      </c>
      <c r="B129" s="9">
        <v>40</v>
      </c>
      <c r="C129" s="13" t="s">
        <v>52</v>
      </c>
      <c r="D129" s="15">
        <v>9784264944</v>
      </c>
      <c r="E129" s="11" t="s">
        <v>18</v>
      </c>
      <c r="F129" s="10">
        <v>15</v>
      </c>
      <c r="G129" s="10" t="s">
        <v>46</v>
      </c>
      <c r="H129" s="9">
        <v>9660396640</v>
      </c>
      <c r="I129" s="28">
        <v>687</v>
      </c>
      <c r="J129" s="30">
        <f>I129/15</f>
        <v>45.8</v>
      </c>
      <c r="K129" s="34">
        <f>(J129*4)-L129</f>
        <v>104.19999999999999</v>
      </c>
      <c r="L129" s="35">
        <v>79</v>
      </c>
      <c r="M129" s="23">
        <f>(L129/I129)*100</f>
        <v>11.499272197962155</v>
      </c>
      <c r="N129" s="35">
        <v>0</v>
      </c>
      <c r="O129" s="23">
        <f>(N129/I129)*100</f>
        <v>0</v>
      </c>
      <c r="P129" s="35">
        <v>1</v>
      </c>
    </row>
    <row r="130" spans="1:16" ht="19.5" x14ac:dyDescent="0.25">
      <c r="A130" s="9">
        <v>129</v>
      </c>
      <c r="B130" s="9">
        <v>34</v>
      </c>
      <c r="C130" s="13" t="s">
        <v>45</v>
      </c>
      <c r="D130" s="15">
        <v>8740832315</v>
      </c>
      <c r="E130" s="11" t="s">
        <v>18</v>
      </c>
      <c r="F130" s="10">
        <v>15</v>
      </c>
      <c r="G130" s="10" t="s">
        <v>46</v>
      </c>
      <c r="H130" s="9">
        <v>9660396640</v>
      </c>
      <c r="I130" s="28">
        <v>627</v>
      </c>
      <c r="J130" s="30">
        <f>I130/15</f>
        <v>41.8</v>
      </c>
      <c r="K130" s="34">
        <f>(J130*4)-L130</f>
        <v>87.199999999999989</v>
      </c>
      <c r="L130" s="35">
        <v>80</v>
      </c>
      <c r="M130" s="23">
        <f>(L130/I130)*100</f>
        <v>12.759170653907494</v>
      </c>
      <c r="N130" s="35">
        <v>0</v>
      </c>
      <c r="O130" s="23">
        <f>(N130/I130)*100</f>
        <v>0</v>
      </c>
      <c r="P130" s="35">
        <v>1</v>
      </c>
    </row>
    <row r="131" spans="1:16" ht="19.5" x14ac:dyDescent="0.25">
      <c r="A131" s="9">
        <v>130</v>
      </c>
      <c r="B131" s="9">
        <v>92</v>
      </c>
      <c r="C131" s="13" t="s">
        <v>44</v>
      </c>
      <c r="D131" s="15">
        <v>9950699606</v>
      </c>
      <c r="E131" s="11" t="s">
        <v>18</v>
      </c>
      <c r="F131" s="10">
        <v>13</v>
      </c>
      <c r="G131" s="10" t="s">
        <v>20</v>
      </c>
      <c r="H131" s="9">
        <v>9602891066</v>
      </c>
      <c r="I131" s="28">
        <v>1365</v>
      </c>
      <c r="J131" s="30">
        <f>I131/15</f>
        <v>91</v>
      </c>
      <c r="K131" s="34">
        <f>(J131*4)-L131</f>
        <v>179</v>
      </c>
      <c r="L131" s="35">
        <v>185</v>
      </c>
      <c r="M131" s="23">
        <f>(L131/I131)*100</f>
        <v>13.553113553113553</v>
      </c>
      <c r="N131" s="35">
        <v>0</v>
      </c>
      <c r="O131" s="23">
        <f>(N131/I131)*100</f>
        <v>0</v>
      </c>
      <c r="P131" s="35">
        <v>0</v>
      </c>
    </row>
    <row r="132" spans="1:16" ht="19.5" x14ac:dyDescent="0.25">
      <c r="A132" s="9">
        <v>131</v>
      </c>
      <c r="B132" s="9">
        <v>25</v>
      </c>
      <c r="C132" s="13" t="s">
        <v>36</v>
      </c>
      <c r="D132" s="15">
        <v>9413811577</v>
      </c>
      <c r="E132" s="11" t="s">
        <v>18</v>
      </c>
      <c r="F132" s="10">
        <v>16</v>
      </c>
      <c r="G132" s="10" t="s">
        <v>35</v>
      </c>
      <c r="H132" s="9">
        <v>9928482655</v>
      </c>
      <c r="I132" s="28">
        <v>1068</v>
      </c>
      <c r="J132" s="30">
        <f>I132/15</f>
        <v>71.2</v>
      </c>
      <c r="K132" s="34">
        <f>(J132*4)-L132</f>
        <v>135.80000000000001</v>
      </c>
      <c r="L132" s="35">
        <v>149</v>
      </c>
      <c r="M132" s="23">
        <f>(L132/I132)*100</f>
        <v>13.951310861423222</v>
      </c>
      <c r="N132" s="35">
        <v>0</v>
      </c>
      <c r="O132" s="23">
        <f>(N132/I132)*100</f>
        <v>0</v>
      </c>
      <c r="P132" s="35">
        <v>1</v>
      </c>
    </row>
    <row r="133" spans="1:16" ht="19.5" x14ac:dyDescent="0.25">
      <c r="A133" s="9">
        <v>132</v>
      </c>
      <c r="B133" s="9">
        <v>24</v>
      </c>
      <c r="C133" s="13" t="s">
        <v>34</v>
      </c>
      <c r="D133" s="15">
        <v>6350041541</v>
      </c>
      <c r="E133" s="11" t="s">
        <v>18</v>
      </c>
      <c r="F133" s="10">
        <v>16</v>
      </c>
      <c r="G133" s="10" t="s">
        <v>35</v>
      </c>
      <c r="H133" s="9">
        <v>9928482655</v>
      </c>
      <c r="I133" s="28">
        <v>954</v>
      </c>
      <c r="J133" s="30">
        <f>I133/15</f>
        <v>63.6</v>
      </c>
      <c r="K133" s="34">
        <f>(J133*4)-L133</f>
        <v>118.4</v>
      </c>
      <c r="L133" s="35">
        <v>136</v>
      </c>
      <c r="M133" s="23">
        <f>(L133/I133)*100</f>
        <v>14.255765199161424</v>
      </c>
      <c r="N133" s="35">
        <v>0</v>
      </c>
      <c r="O133" s="23">
        <f>(N133/I133)*100</f>
        <v>0</v>
      </c>
      <c r="P133" s="35">
        <v>0</v>
      </c>
    </row>
    <row r="134" spans="1:16" ht="19.5" x14ac:dyDescent="0.25">
      <c r="A134" s="9">
        <v>133</v>
      </c>
      <c r="B134" s="9">
        <v>28</v>
      </c>
      <c r="C134" s="13" t="s">
        <v>39</v>
      </c>
      <c r="D134" s="14">
        <v>9829469990</v>
      </c>
      <c r="E134" s="11" t="s">
        <v>18</v>
      </c>
      <c r="F134" s="10">
        <v>16</v>
      </c>
      <c r="G134" s="10" t="s">
        <v>35</v>
      </c>
      <c r="H134" s="9">
        <v>9928482655</v>
      </c>
      <c r="I134" s="28">
        <v>1157</v>
      </c>
      <c r="J134" s="30">
        <f>I134/15</f>
        <v>77.13333333333334</v>
      </c>
      <c r="K134" s="34">
        <f>(J134*4)-L134</f>
        <v>140.53333333333336</v>
      </c>
      <c r="L134" s="35">
        <v>168</v>
      </c>
      <c r="M134" s="23">
        <f>(L134/I134)*100</f>
        <v>14.520311149524634</v>
      </c>
      <c r="N134" s="35">
        <v>0</v>
      </c>
      <c r="O134" s="23">
        <f>(N134/I134)*100</f>
        <v>0</v>
      </c>
      <c r="P134" s="35">
        <v>1</v>
      </c>
    </row>
    <row r="135" spans="1:16" ht="39" x14ac:dyDescent="0.25">
      <c r="A135" s="9">
        <v>134</v>
      </c>
      <c r="B135" s="9">
        <v>50</v>
      </c>
      <c r="C135" s="13" t="s">
        <v>63</v>
      </c>
      <c r="D135" s="14" t="s">
        <v>66</v>
      </c>
      <c r="E135" s="11" t="s">
        <v>18</v>
      </c>
      <c r="F135" s="10">
        <v>16</v>
      </c>
      <c r="G135" s="10" t="s">
        <v>35</v>
      </c>
      <c r="H135" s="9">
        <v>9928482655</v>
      </c>
      <c r="I135" s="28">
        <v>999</v>
      </c>
      <c r="J135" s="30">
        <f>I135/15</f>
        <v>66.599999999999994</v>
      </c>
      <c r="K135" s="34">
        <f>(J135*4)-L135</f>
        <v>118.39999999999998</v>
      </c>
      <c r="L135" s="35">
        <v>148</v>
      </c>
      <c r="M135" s="23">
        <f>(L135/I135)*100</f>
        <v>14.814814814814813</v>
      </c>
      <c r="N135" s="35">
        <v>0</v>
      </c>
      <c r="O135" s="23">
        <f>(N135/I135)*100</f>
        <v>0</v>
      </c>
      <c r="P135" s="35">
        <v>0</v>
      </c>
    </row>
    <row r="136" spans="1:16" ht="19.5" x14ac:dyDescent="0.25">
      <c r="A136" s="9">
        <v>135</v>
      </c>
      <c r="B136" s="9">
        <v>27</v>
      </c>
      <c r="C136" s="13" t="s">
        <v>38</v>
      </c>
      <c r="D136" s="14">
        <v>9461260590</v>
      </c>
      <c r="E136" s="11" t="s">
        <v>18</v>
      </c>
      <c r="F136" s="10">
        <v>16</v>
      </c>
      <c r="G136" s="10" t="s">
        <v>35</v>
      </c>
      <c r="H136" s="9">
        <v>9928482655</v>
      </c>
      <c r="I136" s="28">
        <v>1309</v>
      </c>
      <c r="J136" s="30">
        <f>I136/15</f>
        <v>87.266666666666666</v>
      </c>
      <c r="K136" s="34">
        <f>(J136*4)-L136</f>
        <v>153.06666666666666</v>
      </c>
      <c r="L136" s="35">
        <v>196</v>
      </c>
      <c r="M136" s="23">
        <f>(L136/I136)*100</f>
        <v>14.973262032085561</v>
      </c>
      <c r="N136" s="35">
        <v>0</v>
      </c>
      <c r="O136" s="23">
        <f>(N136/I136)*100</f>
        <v>0</v>
      </c>
      <c r="P136" s="35">
        <v>1</v>
      </c>
    </row>
    <row r="137" spans="1:16" ht="19.5" x14ac:dyDescent="0.25">
      <c r="A137" s="9">
        <v>136</v>
      </c>
      <c r="B137" s="9">
        <v>36</v>
      </c>
      <c r="C137" s="13" t="s">
        <v>48</v>
      </c>
      <c r="D137" s="14">
        <v>9680265659</v>
      </c>
      <c r="E137" s="11" t="s">
        <v>18</v>
      </c>
      <c r="F137" s="10">
        <v>15</v>
      </c>
      <c r="G137" s="10" t="s">
        <v>46</v>
      </c>
      <c r="H137" s="9">
        <v>9660396640</v>
      </c>
      <c r="I137" s="28">
        <v>1380</v>
      </c>
      <c r="J137" s="30">
        <f>I137/15</f>
        <v>92</v>
      </c>
      <c r="K137" s="34">
        <f>(J137*4)-L137</f>
        <v>159</v>
      </c>
      <c r="L137" s="35">
        <v>209</v>
      </c>
      <c r="M137" s="23">
        <f>(L137/I137)*100</f>
        <v>15.144927536231883</v>
      </c>
      <c r="N137" s="35">
        <v>0</v>
      </c>
      <c r="O137" s="23">
        <f>(N137/I137)*100</f>
        <v>0</v>
      </c>
      <c r="P137" s="35">
        <v>1</v>
      </c>
    </row>
    <row r="138" spans="1:16" ht="19.5" x14ac:dyDescent="0.25">
      <c r="A138" s="9">
        <v>137</v>
      </c>
      <c r="B138" s="9">
        <v>53</v>
      </c>
      <c r="C138" s="13" t="s">
        <v>68</v>
      </c>
      <c r="D138" s="14">
        <v>9461387598</v>
      </c>
      <c r="E138" s="11" t="s">
        <v>18</v>
      </c>
      <c r="F138" s="10">
        <v>17</v>
      </c>
      <c r="G138" s="10" t="s">
        <v>69</v>
      </c>
      <c r="H138" s="9">
        <v>6376807994</v>
      </c>
      <c r="I138" s="28">
        <v>1087</v>
      </c>
      <c r="J138" s="30">
        <f>I138/15</f>
        <v>72.466666666666669</v>
      </c>
      <c r="K138" s="34">
        <f>(J138*4)-L138</f>
        <v>116.86666666666667</v>
      </c>
      <c r="L138" s="35">
        <v>173</v>
      </c>
      <c r="M138" s="23">
        <f>(L138/I138)*100</f>
        <v>15.915363385464582</v>
      </c>
      <c r="N138" s="35">
        <v>0</v>
      </c>
      <c r="O138" s="23">
        <f>(N138/I138)*100</f>
        <v>0</v>
      </c>
      <c r="P138" s="35">
        <v>1</v>
      </c>
    </row>
    <row r="139" spans="1:16" ht="19.5" x14ac:dyDescent="0.25">
      <c r="A139" s="9">
        <v>138</v>
      </c>
      <c r="B139" s="9">
        <v>94</v>
      </c>
      <c r="C139" s="13" t="s">
        <v>17</v>
      </c>
      <c r="D139" s="15">
        <v>6377443016</v>
      </c>
      <c r="E139" s="11" t="s">
        <v>18</v>
      </c>
      <c r="F139" s="10">
        <v>14</v>
      </c>
      <c r="G139" s="10" t="s">
        <v>59</v>
      </c>
      <c r="H139" s="9">
        <v>7597962642</v>
      </c>
      <c r="I139" s="28">
        <v>1142</v>
      </c>
      <c r="J139" s="30">
        <f>I139/15</f>
        <v>76.13333333333334</v>
      </c>
      <c r="K139" s="34">
        <f>(J139*4)-L139</f>
        <v>122.53333333333336</v>
      </c>
      <c r="L139" s="35">
        <v>182</v>
      </c>
      <c r="M139" s="23">
        <f>(L139/I139)*100</f>
        <v>15.936952714535902</v>
      </c>
      <c r="N139" s="35">
        <v>0</v>
      </c>
      <c r="O139" s="23">
        <f>(N139/I139)*100</f>
        <v>0</v>
      </c>
      <c r="P139" s="35">
        <v>1</v>
      </c>
    </row>
    <row r="140" spans="1:16" ht="19.5" x14ac:dyDescent="0.25">
      <c r="A140" s="9">
        <v>139</v>
      </c>
      <c r="B140" s="9">
        <v>52</v>
      </c>
      <c r="C140" s="13" t="s">
        <v>67</v>
      </c>
      <c r="D140" s="15">
        <v>9784876428</v>
      </c>
      <c r="E140" s="11" t="s">
        <v>18</v>
      </c>
      <c r="F140" s="10">
        <v>16</v>
      </c>
      <c r="G140" s="10" t="s">
        <v>35</v>
      </c>
      <c r="H140" s="9">
        <v>9928482655</v>
      </c>
      <c r="I140" s="28">
        <v>963</v>
      </c>
      <c r="J140" s="30">
        <f>I140/15</f>
        <v>64.2</v>
      </c>
      <c r="K140" s="34">
        <f>(J140*4)-L140</f>
        <v>99.800000000000011</v>
      </c>
      <c r="L140" s="35">
        <v>157</v>
      </c>
      <c r="M140" s="23">
        <f>(L140/I140)*100</f>
        <v>16.303219106957425</v>
      </c>
      <c r="N140" s="35">
        <v>0</v>
      </c>
      <c r="O140" s="23">
        <f>(N140/I140)*100</f>
        <v>0</v>
      </c>
      <c r="P140" s="35">
        <v>1</v>
      </c>
    </row>
    <row r="141" spans="1:16" ht="19.5" x14ac:dyDescent="0.25">
      <c r="A141" s="9">
        <v>140</v>
      </c>
      <c r="B141" s="9">
        <v>47</v>
      </c>
      <c r="C141" s="16" t="s">
        <v>60</v>
      </c>
      <c r="D141" s="15">
        <v>8058756916</v>
      </c>
      <c r="E141" s="11" t="s">
        <v>18</v>
      </c>
      <c r="F141" s="10">
        <v>14</v>
      </c>
      <c r="G141" s="10" t="s">
        <v>59</v>
      </c>
      <c r="H141" s="9">
        <v>7597962642</v>
      </c>
      <c r="I141" s="28">
        <v>1133</v>
      </c>
      <c r="J141" s="30">
        <f>I141/15</f>
        <v>75.533333333333331</v>
      </c>
      <c r="K141" s="34">
        <f>(J141*4)-L141</f>
        <v>114.13333333333333</v>
      </c>
      <c r="L141" s="35">
        <v>188</v>
      </c>
      <c r="M141" s="23">
        <f>(L141/I141)*100</f>
        <v>16.593115622241836</v>
      </c>
      <c r="N141" s="35">
        <v>0</v>
      </c>
      <c r="O141" s="23">
        <f>(N141/I141)*100</f>
        <v>0</v>
      </c>
      <c r="P141" s="35">
        <v>1</v>
      </c>
    </row>
    <row r="142" spans="1:16" ht="19.5" x14ac:dyDescent="0.25">
      <c r="A142" s="9">
        <v>141</v>
      </c>
      <c r="B142" s="9">
        <v>55</v>
      </c>
      <c r="C142" s="13" t="s">
        <v>71</v>
      </c>
      <c r="D142" s="15">
        <v>8769504145</v>
      </c>
      <c r="E142" s="11" t="s">
        <v>18</v>
      </c>
      <c r="F142" s="10">
        <v>17</v>
      </c>
      <c r="G142" s="10" t="s">
        <v>69</v>
      </c>
      <c r="H142" s="9">
        <v>6376807994</v>
      </c>
      <c r="I142" s="28">
        <v>1186</v>
      </c>
      <c r="J142" s="30">
        <f>I142/15</f>
        <v>79.066666666666663</v>
      </c>
      <c r="K142" s="34">
        <f>(J142*4)-L142</f>
        <v>117.26666666666665</v>
      </c>
      <c r="L142" s="35">
        <v>199</v>
      </c>
      <c r="M142" s="23">
        <f>(L142/I142)*100</f>
        <v>16.779089376053964</v>
      </c>
      <c r="N142" s="35">
        <v>0</v>
      </c>
      <c r="O142" s="23">
        <f>(N142/I142)*100</f>
        <v>0</v>
      </c>
      <c r="P142" s="35">
        <v>0</v>
      </c>
    </row>
    <row r="143" spans="1:16" ht="19.5" x14ac:dyDescent="0.25">
      <c r="A143" s="9">
        <v>142</v>
      </c>
      <c r="B143" s="9">
        <v>33</v>
      </c>
      <c r="C143" s="13" t="s">
        <v>44</v>
      </c>
      <c r="D143" s="14">
        <v>9950062615</v>
      </c>
      <c r="E143" s="11" t="s">
        <v>18</v>
      </c>
      <c r="F143" s="10">
        <v>13</v>
      </c>
      <c r="G143" s="10" t="s">
        <v>20</v>
      </c>
      <c r="H143" s="9">
        <v>9602891066</v>
      </c>
      <c r="I143" s="28">
        <v>1166</v>
      </c>
      <c r="J143" s="30">
        <f>I143/15</f>
        <v>77.733333333333334</v>
      </c>
      <c r="K143" s="34">
        <f>(J143*4)-L143</f>
        <v>111.93333333333334</v>
      </c>
      <c r="L143" s="35">
        <v>199</v>
      </c>
      <c r="M143" s="23">
        <f>(L143/I143)*100</f>
        <v>17.066895368782163</v>
      </c>
      <c r="N143" s="35">
        <v>0</v>
      </c>
      <c r="O143" s="23">
        <f>(N143/I143)*100</f>
        <v>0</v>
      </c>
      <c r="P143" s="35">
        <v>1</v>
      </c>
    </row>
    <row r="144" spans="1:16" ht="19.5" x14ac:dyDescent="0.25">
      <c r="A144" s="9">
        <v>143</v>
      </c>
      <c r="B144" s="9">
        <v>89</v>
      </c>
      <c r="C144" s="13" t="s">
        <v>107</v>
      </c>
      <c r="D144" s="14">
        <v>9680030834</v>
      </c>
      <c r="E144" s="11" t="s">
        <v>18</v>
      </c>
      <c r="F144" s="10">
        <v>14</v>
      </c>
      <c r="G144" s="10" t="s">
        <v>59</v>
      </c>
      <c r="H144" s="9">
        <v>7597962642</v>
      </c>
      <c r="I144" s="28">
        <v>1059</v>
      </c>
      <c r="J144" s="30">
        <f>I144/15</f>
        <v>70.599999999999994</v>
      </c>
      <c r="K144" s="34">
        <f>(J144*4)-L144</f>
        <v>100.39999999999998</v>
      </c>
      <c r="L144" s="35">
        <v>182</v>
      </c>
      <c r="M144" s="23">
        <f>(L144/I144)*100</f>
        <v>17.186024551463642</v>
      </c>
      <c r="N144" s="35">
        <v>0</v>
      </c>
      <c r="O144" s="23">
        <f>(N144/I144)*100</f>
        <v>0</v>
      </c>
      <c r="P144" s="35">
        <v>1</v>
      </c>
    </row>
    <row r="145" spans="1:16" ht="19.5" x14ac:dyDescent="0.25">
      <c r="A145" s="9">
        <v>144</v>
      </c>
      <c r="B145" s="9">
        <v>43</v>
      </c>
      <c r="C145" s="13" t="s">
        <v>55</v>
      </c>
      <c r="D145" s="14">
        <v>7976923163</v>
      </c>
      <c r="E145" s="11" t="s">
        <v>18</v>
      </c>
      <c r="F145" s="10">
        <v>15</v>
      </c>
      <c r="G145" s="10" t="s">
        <v>46</v>
      </c>
      <c r="H145" s="9">
        <v>9660396640</v>
      </c>
      <c r="I145" s="28">
        <v>760</v>
      </c>
      <c r="J145" s="30">
        <f>I145/15</f>
        <v>50.666666666666664</v>
      </c>
      <c r="K145" s="34">
        <f>(J145*4)-L145</f>
        <v>71.666666666666657</v>
      </c>
      <c r="L145" s="35">
        <v>131</v>
      </c>
      <c r="M145" s="23">
        <f>(L145/I145)*100</f>
        <v>17.236842105263158</v>
      </c>
      <c r="N145" s="35">
        <v>0</v>
      </c>
      <c r="O145" s="23">
        <f>(N145/I145)*100</f>
        <v>0</v>
      </c>
      <c r="P145" s="35">
        <v>1</v>
      </c>
    </row>
    <row r="146" spans="1:16" ht="19.5" x14ac:dyDescent="0.25">
      <c r="A146" s="9">
        <v>145</v>
      </c>
      <c r="B146" s="9">
        <v>51</v>
      </c>
      <c r="C146" s="13" t="s">
        <v>65</v>
      </c>
      <c r="D146" s="15">
        <v>9413423073</v>
      </c>
      <c r="E146" s="11" t="s">
        <v>18</v>
      </c>
      <c r="F146" s="10">
        <v>16</v>
      </c>
      <c r="G146" s="10" t="s">
        <v>35</v>
      </c>
      <c r="H146" s="9">
        <v>9928482655</v>
      </c>
      <c r="I146" s="28">
        <v>452</v>
      </c>
      <c r="J146" s="30">
        <f>I146/15</f>
        <v>30.133333333333333</v>
      </c>
      <c r="K146" s="34">
        <f>(J146*4)-L146</f>
        <v>39.533333333333331</v>
      </c>
      <c r="L146" s="35">
        <v>81</v>
      </c>
      <c r="M146" s="23">
        <f>(L146/I146)*100</f>
        <v>17.920353982300885</v>
      </c>
      <c r="N146" s="35">
        <v>0</v>
      </c>
      <c r="O146" s="23">
        <f>(N146/I146)*100</f>
        <v>0</v>
      </c>
      <c r="P146" s="35">
        <v>1</v>
      </c>
    </row>
    <row r="147" spans="1:16" ht="19.5" x14ac:dyDescent="0.25">
      <c r="A147" s="9">
        <v>146</v>
      </c>
      <c r="B147" s="9">
        <v>54</v>
      </c>
      <c r="C147" s="13" t="s">
        <v>70</v>
      </c>
      <c r="D147" s="14">
        <v>9602635484</v>
      </c>
      <c r="E147" s="11" t="s">
        <v>18</v>
      </c>
      <c r="F147" s="10">
        <v>17</v>
      </c>
      <c r="G147" s="10" t="s">
        <v>69</v>
      </c>
      <c r="H147" s="9">
        <v>6376807994</v>
      </c>
      <c r="I147" s="28">
        <v>1173</v>
      </c>
      <c r="J147" s="30">
        <f>I147/15</f>
        <v>78.2</v>
      </c>
      <c r="K147" s="34">
        <f>(J147*4)-L147</f>
        <v>97.800000000000011</v>
      </c>
      <c r="L147" s="35">
        <v>215</v>
      </c>
      <c r="M147" s="23">
        <f>(L147/I147)*100</f>
        <v>18.329070758738279</v>
      </c>
      <c r="N147" s="35">
        <v>0</v>
      </c>
      <c r="O147" s="23">
        <f>(N147/I147)*100</f>
        <v>0</v>
      </c>
      <c r="P147" s="35">
        <v>1</v>
      </c>
    </row>
    <row r="148" spans="1:16" ht="19.5" x14ac:dyDescent="0.25">
      <c r="A148" s="9">
        <v>147</v>
      </c>
      <c r="B148" s="9">
        <v>38</v>
      </c>
      <c r="C148" s="13" t="s">
        <v>50</v>
      </c>
      <c r="D148" s="14">
        <v>9602688232</v>
      </c>
      <c r="E148" s="11" t="s">
        <v>18</v>
      </c>
      <c r="F148" s="10">
        <v>15</v>
      </c>
      <c r="G148" s="10" t="s">
        <v>46</v>
      </c>
      <c r="H148" s="9">
        <v>9660396640</v>
      </c>
      <c r="I148" s="28">
        <v>1250</v>
      </c>
      <c r="J148" s="30">
        <f>I148/15</f>
        <v>83.333333333333329</v>
      </c>
      <c r="K148" s="34">
        <f>(J148*4)-L148</f>
        <v>99.333333333333314</v>
      </c>
      <c r="L148" s="35">
        <v>234</v>
      </c>
      <c r="M148" s="23">
        <f>(L148/I148)*100</f>
        <v>18.72</v>
      </c>
      <c r="N148" s="35">
        <v>0</v>
      </c>
      <c r="O148" s="23">
        <f>(N148/I148)*100</f>
        <v>0</v>
      </c>
      <c r="P148" s="35">
        <v>1</v>
      </c>
    </row>
    <row r="149" spans="1:16" ht="19.5" x14ac:dyDescent="0.25">
      <c r="A149" s="9">
        <v>148</v>
      </c>
      <c r="B149" s="9">
        <v>31</v>
      </c>
      <c r="C149" s="13" t="s">
        <v>42</v>
      </c>
      <c r="D149" s="15">
        <v>9784621957</v>
      </c>
      <c r="E149" s="11" t="s">
        <v>18</v>
      </c>
      <c r="F149" s="10">
        <v>13</v>
      </c>
      <c r="G149" s="10" t="s">
        <v>20</v>
      </c>
      <c r="H149" s="9">
        <v>9602891066</v>
      </c>
      <c r="I149" s="28">
        <v>1169</v>
      </c>
      <c r="J149" s="30">
        <f>I149/15</f>
        <v>77.933333333333337</v>
      </c>
      <c r="K149" s="34">
        <f>(J149*4)-L149</f>
        <v>84.733333333333348</v>
      </c>
      <c r="L149" s="35">
        <v>227</v>
      </c>
      <c r="M149" s="23">
        <f>(L149/I149)*100</f>
        <v>19.41830624465355</v>
      </c>
      <c r="N149" s="35">
        <v>0</v>
      </c>
      <c r="O149" s="23">
        <f>(N149/I149)*100</f>
        <v>0</v>
      </c>
      <c r="P149" s="35">
        <v>0</v>
      </c>
    </row>
    <row r="150" spans="1:16" ht="19.5" x14ac:dyDescent="0.25">
      <c r="A150" s="9">
        <v>149</v>
      </c>
      <c r="B150" s="9">
        <v>95</v>
      </c>
      <c r="C150" s="13" t="s">
        <v>111</v>
      </c>
      <c r="D150" s="14">
        <v>9828162240</v>
      </c>
      <c r="E150" s="11" t="s">
        <v>18</v>
      </c>
      <c r="F150" s="10">
        <v>14</v>
      </c>
      <c r="G150" s="10" t="s">
        <v>59</v>
      </c>
      <c r="H150" s="9">
        <v>7597962642</v>
      </c>
      <c r="I150" s="28">
        <v>1064</v>
      </c>
      <c r="J150" s="30">
        <f>I150/15</f>
        <v>70.933333333333337</v>
      </c>
      <c r="K150" s="34">
        <f>(J150*4)-L150</f>
        <v>75.733333333333348</v>
      </c>
      <c r="L150" s="35">
        <v>208</v>
      </c>
      <c r="M150" s="23">
        <f>(L150/I150)*100</f>
        <v>19.548872180451127</v>
      </c>
      <c r="N150" s="35">
        <v>0</v>
      </c>
      <c r="O150" s="23">
        <f>(N150/I150)*100</f>
        <v>0</v>
      </c>
      <c r="P150" s="35">
        <v>1</v>
      </c>
    </row>
    <row r="151" spans="1:16" ht="19.5" x14ac:dyDescent="0.25">
      <c r="A151" s="9">
        <v>150</v>
      </c>
      <c r="B151" s="9">
        <v>45</v>
      </c>
      <c r="C151" s="13" t="s">
        <v>57</v>
      </c>
      <c r="D151" s="15">
        <v>7300356009</v>
      </c>
      <c r="E151" s="11" t="s">
        <v>18</v>
      </c>
      <c r="F151" s="10">
        <v>13</v>
      </c>
      <c r="G151" s="10" t="s">
        <v>20</v>
      </c>
      <c r="H151" s="9">
        <v>9602891066</v>
      </c>
      <c r="I151" s="28">
        <v>1293</v>
      </c>
      <c r="J151" s="30">
        <f>I151/15</f>
        <v>86.2</v>
      </c>
      <c r="K151" s="34">
        <f>(J151*4)-L151</f>
        <v>91.800000000000011</v>
      </c>
      <c r="L151" s="35">
        <v>253</v>
      </c>
      <c r="M151" s="23">
        <f>(L151/I151)*100</f>
        <v>19.56689868522815</v>
      </c>
      <c r="N151" s="35">
        <v>0</v>
      </c>
      <c r="O151" s="23">
        <f>(N151/I151)*100</f>
        <v>0</v>
      </c>
      <c r="P151" s="35">
        <v>1</v>
      </c>
    </row>
    <row r="152" spans="1:16" ht="19.5" x14ac:dyDescent="0.25">
      <c r="A152" s="9">
        <v>151</v>
      </c>
      <c r="B152" s="9">
        <v>44</v>
      </c>
      <c r="C152" s="13" t="s">
        <v>56</v>
      </c>
      <c r="D152" s="15">
        <v>7742461396</v>
      </c>
      <c r="E152" s="11" t="s">
        <v>18</v>
      </c>
      <c r="F152" s="10">
        <v>13</v>
      </c>
      <c r="G152" s="10" t="s">
        <v>20</v>
      </c>
      <c r="H152" s="9">
        <v>9602891066</v>
      </c>
      <c r="I152" s="28">
        <v>916</v>
      </c>
      <c r="J152" s="30">
        <f>I152/15</f>
        <v>61.06666666666667</v>
      </c>
      <c r="K152" s="34">
        <f>(J152*4)-L152</f>
        <v>64.26666666666668</v>
      </c>
      <c r="L152" s="35">
        <v>180</v>
      </c>
      <c r="M152" s="23">
        <f>(L152/I152)*100</f>
        <v>19.650655021834059</v>
      </c>
      <c r="N152" s="35">
        <v>0</v>
      </c>
      <c r="O152" s="23">
        <f>(N152/I152)*100</f>
        <v>0</v>
      </c>
      <c r="P152" s="35">
        <v>0</v>
      </c>
    </row>
    <row r="153" spans="1:16" ht="19.5" x14ac:dyDescent="0.25">
      <c r="A153" s="9">
        <v>152</v>
      </c>
      <c r="B153" s="9">
        <v>39</v>
      </c>
      <c r="C153" s="13" t="s">
        <v>51</v>
      </c>
      <c r="D153" s="14">
        <v>8107195065</v>
      </c>
      <c r="E153" s="11" t="s">
        <v>18</v>
      </c>
      <c r="F153" s="10">
        <v>15</v>
      </c>
      <c r="G153" s="10" t="s">
        <v>46</v>
      </c>
      <c r="H153" s="9">
        <v>9660396640</v>
      </c>
      <c r="I153" s="28">
        <v>933</v>
      </c>
      <c r="J153" s="30">
        <f>I153/15</f>
        <v>62.2</v>
      </c>
      <c r="K153" s="34">
        <f>(J153*4)-L153</f>
        <v>59.800000000000011</v>
      </c>
      <c r="L153" s="35">
        <v>189</v>
      </c>
      <c r="M153" s="23">
        <f>(L153/I153)*100</f>
        <v>20.257234726688104</v>
      </c>
      <c r="N153" s="35">
        <v>0</v>
      </c>
      <c r="O153" s="23">
        <f>(N153/I153)*100</f>
        <v>0</v>
      </c>
      <c r="P153" s="35">
        <v>1</v>
      </c>
    </row>
    <row r="154" spans="1:16" ht="19.5" x14ac:dyDescent="0.25">
      <c r="A154" s="9">
        <v>153</v>
      </c>
      <c r="B154" s="9">
        <v>56</v>
      </c>
      <c r="C154" s="13" t="s">
        <v>72</v>
      </c>
      <c r="D154" s="14">
        <v>9694450748</v>
      </c>
      <c r="E154" s="11" t="s">
        <v>18</v>
      </c>
      <c r="F154" s="10">
        <v>17</v>
      </c>
      <c r="G154" s="10" t="s">
        <v>69</v>
      </c>
      <c r="H154" s="9">
        <v>6376807994</v>
      </c>
      <c r="I154" s="28">
        <v>1341</v>
      </c>
      <c r="J154" s="30">
        <f>I154/15</f>
        <v>89.4</v>
      </c>
      <c r="K154" s="34">
        <f>(J154*4)-L154</f>
        <v>82.600000000000023</v>
      </c>
      <c r="L154" s="35">
        <v>275</v>
      </c>
      <c r="M154" s="23">
        <f>(L154/I154)*100</f>
        <v>20.507084265473527</v>
      </c>
      <c r="N154" s="35">
        <v>0</v>
      </c>
      <c r="O154" s="23">
        <f>(N154/I154)*100</f>
        <v>0</v>
      </c>
      <c r="P154" s="35">
        <v>1</v>
      </c>
    </row>
    <row r="155" spans="1:16" ht="19.5" x14ac:dyDescent="0.25">
      <c r="A155" s="9">
        <v>154</v>
      </c>
      <c r="B155" s="9">
        <v>26</v>
      </c>
      <c r="C155" s="13" t="s">
        <v>37</v>
      </c>
      <c r="D155" s="14">
        <v>9828257243</v>
      </c>
      <c r="E155" s="11" t="s">
        <v>18</v>
      </c>
      <c r="F155" s="10">
        <v>16</v>
      </c>
      <c r="G155" s="10" t="s">
        <v>35</v>
      </c>
      <c r="H155" s="9">
        <v>9928482655</v>
      </c>
      <c r="I155" s="28">
        <v>686</v>
      </c>
      <c r="J155" s="30">
        <f>I155/15</f>
        <v>45.733333333333334</v>
      </c>
      <c r="K155" s="34">
        <f>(J155*4)-L155</f>
        <v>40.933333333333337</v>
      </c>
      <c r="L155" s="35">
        <v>142</v>
      </c>
      <c r="M155" s="23">
        <f>(L155/I155)*100</f>
        <v>20.699708454810494</v>
      </c>
      <c r="N155" s="35">
        <v>0</v>
      </c>
      <c r="O155" s="23">
        <f>(N155/I155)*100</f>
        <v>0</v>
      </c>
      <c r="P155" s="35">
        <v>1</v>
      </c>
    </row>
    <row r="156" spans="1:16" ht="19.5" x14ac:dyDescent="0.25">
      <c r="A156" s="9">
        <v>155</v>
      </c>
      <c r="B156" s="9">
        <v>90</v>
      </c>
      <c r="C156" s="13" t="s">
        <v>108</v>
      </c>
      <c r="D156" s="14">
        <v>9928568860</v>
      </c>
      <c r="E156" s="11" t="s">
        <v>18</v>
      </c>
      <c r="F156" s="10">
        <v>14</v>
      </c>
      <c r="G156" s="10" t="s">
        <v>59</v>
      </c>
      <c r="H156" s="9">
        <v>7597962642</v>
      </c>
      <c r="I156" s="28">
        <v>946</v>
      </c>
      <c r="J156" s="30">
        <f>I156/15</f>
        <v>63.06666666666667</v>
      </c>
      <c r="K156" s="34">
        <f>(J156*4)-L156</f>
        <v>56.26666666666668</v>
      </c>
      <c r="L156" s="35">
        <v>196</v>
      </c>
      <c r="M156" s="23">
        <f>(L156/I156)*100</f>
        <v>20.718816067653275</v>
      </c>
      <c r="N156" s="35">
        <v>0</v>
      </c>
      <c r="O156" s="23">
        <f>(N156/I156)*100</f>
        <v>0</v>
      </c>
      <c r="P156" s="35">
        <v>1</v>
      </c>
    </row>
    <row r="157" spans="1:16" ht="19.5" x14ac:dyDescent="0.25">
      <c r="A157" s="9">
        <v>156</v>
      </c>
      <c r="B157" s="9">
        <v>11</v>
      </c>
      <c r="C157" s="13" t="s">
        <v>19</v>
      </c>
      <c r="D157" s="15">
        <v>9166549160</v>
      </c>
      <c r="E157" s="11" t="s">
        <v>18</v>
      </c>
      <c r="F157" s="10">
        <v>13</v>
      </c>
      <c r="G157" s="10" t="s">
        <v>20</v>
      </c>
      <c r="H157" s="9">
        <v>9602891066</v>
      </c>
      <c r="I157" s="28">
        <v>1271</v>
      </c>
      <c r="J157" s="30">
        <f>I157/15</f>
        <v>84.733333333333334</v>
      </c>
      <c r="K157" s="34">
        <f>(J157*4)-L157</f>
        <v>73.933333333333337</v>
      </c>
      <c r="L157" s="35">
        <v>265</v>
      </c>
      <c r="M157" s="23">
        <f>(L157/I157)*100</f>
        <v>20.849724626278523</v>
      </c>
      <c r="N157" s="35">
        <v>0</v>
      </c>
      <c r="O157" s="23">
        <f>(N157/I157)*100</f>
        <v>0</v>
      </c>
      <c r="P157" s="35">
        <v>1</v>
      </c>
    </row>
    <row r="158" spans="1:16" ht="19.5" x14ac:dyDescent="0.25">
      <c r="A158" s="9">
        <v>157</v>
      </c>
      <c r="B158" s="9">
        <v>87</v>
      </c>
      <c r="C158" s="13" t="s">
        <v>106</v>
      </c>
      <c r="D158" s="15">
        <v>7742778972</v>
      </c>
      <c r="E158" s="11" t="s">
        <v>18</v>
      </c>
      <c r="F158" s="10">
        <v>17</v>
      </c>
      <c r="G158" s="10" t="s">
        <v>69</v>
      </c>
      <c r="H158" s="9">
        <v>6376807994</v>
      </c>
      <c r="I158" s="28">
        <v>1159</v>
      </c>
      <c r="J158" s="30">
        <f>I158/15</f>
        <v>77.266666666666666</v>
      </c>
      <c r="K158" s="34">
        <f>(J158*4)-L158</f>
        <v>60.066666666666663</v>
      </c>
      <c r="L158" s="35">
        <v>249</v>
      </c>
      <c r="M158" s="23">
        <f>(L158/I158)*100</f>
        <v>21.484037963761864</v>
      </c>
      <c r="N158" s="35">
        <v>0</v>
      </c>
      <c r="O158" s="23">
        <f>(N158/I158)*100</f>
        <v>0</v>
      </c>
      <c r="P158" s="35">
        <v>1</v>
      </c>
    </row>
    <row r="159" spans="1:16" ht="19.5" x14ac:dyDescent="0.25">
      <c r="A159" s="9">
        <v>158</v>
      </c>
      <c r="B159" s="9">
        <v>155</v>
      </c>
      <c r="C159" s="13" t="s">
        <v>177</v>
      </c>
      <c r="D159" s="15">
        <v>9079647710</v>
      </c>
      <c r="E159" s="11" t="s">
        <v>18</v>
      </c>
      <c r="F159" s="10">
        <v>14</v>
      </c>
      <c r="G159" s="10" t="s">
        <v>59</v>
      </c>
      <c r="H159" s="9">
        <v>7597962642</v>
      </c>
      <c r="I159" s="28">
        <v>1029</v>
      </c>
      <c r="J159" s="30">
        <f>I159/15</f>
        <v>68.599999999999994</v>
      </c>
      <c r="K159" s="34">
        <f>(J159*4)-L159</f>
        <v>40.399999999999977</v>
      </c>
      <c r="L159" s="35">
        <v>234</v>
      </c>
      <c r="M159" s="23">
        <f>(L159/I159)*100</f>
        <v>22.740524781341108</v>
      </c>
      <c r="N159" s="35">
        <v>0</v>
      </c>
      <c r="O159" s="23">
        <f>(N159/I159)*100</f>
        <v>0</v>
      </c>
      <c r="P159" s="35">
        <v>1</v>
      </c>
    </row>
    <row r="160" spans="1:16" ht="19.5" x14ac:dyDescent="0.25">
      <c r="A160" s="9">
        <v>159</v>
      </c>
      <c r="B160" s="9">
        <v>83</v>
      </c>
      <c r="C160" s="13" t="s">
        <v>102</v>
      </c>
      <c r="D160" s="15">
        <v>9571611105</v>
      </c>
      <c r="E160" s="11" t="s">
        <v>18</v>
      </c>
      <c r="F160" s="10">
        <v>17</v>
      </c>
      <c r="G160" s="10" t="s">
        <v>69</v>
      </c>
      <c r="H160" s="9">
        <v>6376807994</v>
      </c>
      <c r="I160" s="28">
        <v>606</v>
      </c>
      <c r="J160" s="30">
        <f>I160/15</f>
        <v>40.4</v>
      </c>
      <c r="K160" s="34">
        <f>(J160*4)-L160</f>
        <v>17.599999999999994</v>
      </c>
      <c r="L160" s="35">
        <v>144</v>
      </c>
      <c r="M160" s="23">
        <f>(L160/I160)*100</f>
        <v>23.762376237623762</v>
      </c>
      <c r="N160" s="35">
        <v>0</v>
      </c>
      <c r="O160" s="23">
        <f>(N160/I160)*100</f>
        <v>0</v>
      </c>
      <c r="P160" s="35">
        <v>1</v>
      </c>
    </row>
    <row r="161" spans="1:16" ht="19.5" x14ac:dyDescent="0.25">
      <c r="A161" s="9">
        <v>160</v>
      </c>
      <c r="B161" s="9">
        <v>41</v>
      </c>
      <c r="C161" s="13" t="s">
        <v>53</v>
      </c>
      <c r="D161" s="14">
        <v>9521099286</v>
      </c>
      <c r="E161" s="11" t="s">
        <v>18</v>
      </c>
      <c r="F161" s="10">
        <v>15</v>
      </c>
      <c r="G161" s="10" t="s">
        <v>46</v>
      </c>
      <c r="H161" s="9">
        <v>9660396640</v>
      </c>
      <c r="I161" s="28">
        <v>873</v>
      </c>
      <c r="J161" s="30">
        <f>I161/15</f>
        <v>58.2</v>
      </c>
      <c r="K161" s="34">
        <f>(J161*4)-L161</f>
        <v>23.800000000000011</v>
      </c>
      <c r="L161" s="35">
        <v>209</v>
      </c>
      <c r="M161" s="23">
        <f>(L161/I161)*100</f>
        <v>23.940435280641466</v>
      </c>
      <c r="N161" s="35">
        <v>0</v>
      </c>
      <c r="O161" s="23">
        <f>(N161/I161)*100</f>
        <v>0</v>
      </c>
      <c r="P161" s="35">
        <v>1</v>
      </c>
    </row>
    <row r="162" spans="1:16" ht="19.5" x14ac:dyDescent="0.25">
      <c r="A162" s="9">
        <v>161</v>
      </c>
      <c r="B162" s="9">
        <v>84</v>
      </c>
      <c r="C162" s="13" t="s">
        <v>103</v>
      </c>
      <c r="D162" s="15">
        <v>9602337194</v>
      </c>
      <c r="E162" s="11" t="s">
        <v>18</v>
      </c>
      <c r="F162" s="10">
        <v>17</v>
      </c>
      <c r="G162" s="10" t="s">
        <v>69</v>
      </c>
      <c r="H162" s="9">
        <v>6376807994</v>
      </c>
      <c r="I162" s="28">
        <v>997</v>
      </c>
      <c r="J162" s="30">
        <f>I162/15</f>
        <v>66.466666666666669</v>
      </c>
      <c r="K162" s="34">
        <f>(J162*4)-L162</f>
        <v>23.866666666666674</v>
      </c>
      <c r="L162" s="35">
        <v>242</v>
      </c>
      <c r="M162" s="23">
        <f>(L162/I162)*100</f>
        <v>24.272818455366099</v>
      </c>
      <c r="N162" s="35">
        <v>0</v>
      </c>
      <c r="O162" s="23">
        <f>(N162/I162)*100</f>
        <v>0</v>
      </c>
      <c r="P162" s="35">
        <v>1</v>
      </c>
    </row>
    <row r="163" spans="1:16" ht="19.5" x14ac:dyDescent="0.25">
      <c r="A163" s="9">
        <v>162</v>
      </c>
      <c r="B163" s="9">
        <v>86</v>
      </c>
      <c r="C163" s="13" t="s">
        <v>105</v>
      </c>
      <c r="D163" s="15">
        <v>9928528886</v>
      </c>
      <c r="E163" s="11" t="s">
        <v>18</v>
      </c>
      <c r="F163" s="10">
        <v>17</v>
      </c>
      <c r="G163" s="10" t="s">
        <v>69</v>
      </c>
      <c r="H163" s="9">
        <v>6376807994</v>
      </c>
      <c r="I163" s="28">
        <v>1059</v>
      </c>
      <c r="J163" s="30">
        <f>I163/15</f>
        <v>70.599999999999994</v>
      </c>
      <c r="K163" s="34">
        <f>(J163*4)-L163</f>
        <v>20.399999999999977</v>
      </c>
      <c r="L163" s="35">
        <v>262</v>
      </c>
      <c r="M163" s="23">
        <f>(L163/I163)*100</f>
        <v>24.740321057601513</v>
      </c>
      <c r="N163" s="35">
        <v>0</v>
      </c>
      <c r="O163" s="23">
        <f>(N163/I163)*100</f>
        <v>0</v>
      </c>
      <c r="P163" s="35">
        <v>0</v>
      </c>
    </row>
    <row r="164" spans="1:16" ht="19.5" x14ac:dyDescent="0.25">
      <c r="A164" s="9">
        <v>163</v>
      </c>
      <c r="B164" s="9">
        <v>48</v>
      </c>
      <c r="C164" s="13" t="s">
        <v>61</v>
      </c>
      <c r="D164" s="14">
        <v>9983045312</v>
      </c>
      <c r="E164" s="11" t="s">
        <v>18</v>
      </c>
      <c r="F164" s="10">
        <v>14</v>
      </c>
      <c r="G164" s="10" t="s">
        <v>59</v>
      </c>
      <c r="H164" s="9">
        <v>7597962642</v>
      </c>
      <c r="I164" s="28">
        <v>1485</v>
      </c>
      <c r="J164" s="30">
        <f>I164/15</f>
        <v>99</v>
      </c>
      <c r="K164" s="34">
        <f>(J164*4)-L164</f>
        <v>-1</v>
      </c>
      <c r="L164" s="35">
        <v>397</v>
      </c>
      <c r="M164" s="23">
        <f>(L164/I164)*100</f>
        <v>26.734006734006734</v>
      </c>
      <c r="N164" s="35">
        <v>1</v>
      </c>
      <c r="O164" s="23">
        <f>(N164/I164)*100</f>
        <v>6.7340067340067339E-2</v>
      </c>
      <c r="P164" s="35">
        <v>1</v>
      </c>
    </row>
    <row r="165" spans="1:16" ht="19.5" x14ac:dyDescent="0.25">
      <c r="A165" s="9">
        <v>164</v>
      </c>
      <c r="B165" s="9">
        <v>37</v>
      </c>
      <c r="C165" s="13" t="s">
        <v>49</v>
      </c>
      <c r="D165" s="15">
        <v>9783431360</v>
      </c>
      <c r="E165" s="11" t="s">
        <v>18</v>
      </c>
      <c r="F165" s="10">
        <v>15</v>
      </c>
      <c r="G165" s="10" t="s">
        <v>46</v>
      </c>
      <c r="H165" s="9">
        <v>9660396640</v>
      </c>
      <c r="I165" s="28">
        <v>737</v>
      </c>
      <c r="J165" s="30">
        <f>I165/15</f>
        <v>49.133333333333333</v>
      </c>
      <c r="K165" s="34">
        <f>(J165*4)-L165</f>
        <v>-3.4666666666666686</v>
      </c>
      <c r="L165" s="35">
        <v>200</v>
      </c>
      <c r="M165" s="23">
        <f>(L165/I165)*100</f>
        <v>27.137042062415194</v>
      </c>
      <c r="N165" s="35">
        <v>0</v>
      </c>
      <c r="O165" s="23">
        <f>(N165/I165)*100</f>
        <v>0</v>
      </c>
      <c r="P165" s="35">
        <v>1</v>
      </c>
    </row>
    <row r="166" spans="1:16" ht="19.5" x14ac:dyDescent="0.25">
      <c r="A166" s="9">
        <v>165</v>
      </c>
      <c r="B166" s="9">
        <v>91</v>
      </c>
      <c r="C166" s="13" t="s">
        <v>109</v>
      </c>
      <c r="D166" s="14">
        <v>9413028019</v>
      </c>
      <c r="E166" s="11" t="s">
        <v>18</v>
      </c>
      <c r="F166" s="10">
        <v>13</v>
      </c>
      <c r="G166" s="10" t="s">
        <v>20</v>
      </c>
      <c r="H166" s="9">
        <v>9602891066</v>
      </c>
      <c r="I166" s="28">
        <v>1514</v>
      </c>
      <c r="J166" s="30">
        <f>I166/15</f>
        <v>100.93333333333334</v>
      </c>
      <c r="K166" s="34">
        <f>(J166*4)-L166</f>
        <v>-37.266666666666652</v>
      </c>
      <c r="L166" s="35">
        <v>441</v>
      </c>
      <c r="M166" s="23">
        <f>(L166/I166)*100</f>
        <v>29.128137384412149</v>
      </c>
      <c r="N166" s="35">
        <v>0</v>
      </c>
      <c r="O166" s="23">
        <f>(N166/I166)*100</f>
        <v>0</v>
      </c>
      <c r="P166" s="35">
        <v>1</v>
      </c>
    </row>
    <row r="167" spans="1:16" ht="19.5" x14ac:dyDescent="0.25">
      <c r="A167" s="9">
        <v>166</v>
      </c>
      <c r="B167" s="9">
        <v>93</v>
      </c>
      <c r="C167" s="13" t="s">
        <v>110</v>
      </c>
      <c r="D167" s="15">
        <v>9001315034</v>
      </c>
      <c r="E167" s="11" t="s">
        <v>18</v>
      </c>
      <c r="F167" s="10">
        <v>14</v>
      </c>
      <c r="G167" s="10" t="s">
        <v>59</v>
      </c>
      <c r="H167" s="9">
        <v>7597962642</v>
      </c>
      <c r="I167" s="28">
        <v>864</v>
      </c>
      <c r="J167" s="30">
        <f>I167/15</f>
        <v>57.6</v>
      </c>
      <c r="K167" s="34">
        <f>(J167*4)-L167</f>
        <v>-27.599999999999994</v>
      </c>
      <c r="L167" s="35">
        <v>258</v>
      </c>
      <c r="M167" s="23">
        <f>(L167/I167)*100</f>
        <v>29.861111111111111</v>
      </c>
      <c r="N167" s="35">
        <v>0</v>
      </c>
      <c r="O167" s="23">
        <f>(N167/I167)*100</f>
        <v>0</v>
      </c>
      <c r="P167" s="35">
        <v>1</v>
      </c>
    </row>
    <row r="168" spans="1:16" ht="19.5" x14ac:dyDescent="0.25">
      <c r="A168" s="9">
        <v>167</v>
      </c>
      <c r="B168" s="9">
        <v>85</v>
      </c>
      <c r="C168" s="13" t="s">
        <v>104</v>
      </c>
      <c r="D168" s="14">
        <v>9001783021</v>
      </c>
      <c r="E168" s="11" t="s">
        <v>18</v>
      </c>
      <c r="F168" s="10">
        <v>17</v>
      </c>
      <c r="G168" s="10" t="s">
        <v>69</v>
      </c>
      <c r="H168" s="9">
        <v>6376807994</v>
      </c>
      <c r="I168" s="28">
        <v>938</v>
      </c>
      <c r="J168" s="30">
        <f>I168/15</f>
        <v>62.533333333333331</v>
      </c>
      <c r="K168" s="34">
        <f>(J168*4)-L168</f>
        <v>-57.866666666666674</v>
      </c>
      <c r="L168" s="35">
        <v>308</v>
      </c>
      <c r="M168" s="23">
        <f>(L168/I168)*100</f>
        <v>32.835820895522389</v>
      </c>
      <c r="N168" s="35">
        <v>0</v>
      </c>
      <c r="O168" s="23">
        <f>(N168/I168)*100</f>
        <v>0</v>
      </c>
      <c r="P168" s="35">
        <v>1</v>
      </c>
    </row>
    <row r="169" spans="1:16" ht="19.5" x14ac:dyDescent="0.25">
      <c r="A169" s="9">
        <v>168</v>
      </c>
      <c r="B169" s="9">
        <v>46</v>
      </c>
      <c r="C169" s="13" t="s">
        <v>58</v>
      </c>
      <c r="D169" s="15">
        <v>9929526875</v>
      </c>
      <c r="E169" s="11" t="s">
        <v>18</v>
      </c>
      <c r="F169" s="10">
        <v>14</v>
      </c>
      <c r="G169" s="10" t="s">
        <v>59</v>
      </c>
      <c r="H169" s="9">
        <v>7597962642</v>
      </c>
      <c r="I169" s="28">
        <v>808</v>
      </c>
      <c r="J169" s="30">
        <f>I169/15</f>
        <v>53.866666666666667</v>
      </c>
      <c r="K169" s="34">
        <f>(J169*4)-L169</f>
        <v>-55.533333333333331</v>
      </c>
      <c r="L169" s="35">
        <v>271</v>
      </c>
      <c r="M169" s="23">
        <f>(L169/I169)*100</f>
        <v>33.539603960396043</v>
      </c>
      <c r="N169" s="35">
        <v>0</v>
      </c>
      <c r="O169" s="23">
        <f>(N169/I169)*100</f>
        <v>0</v>
      </c>
      <c r="P169" s="35">
        <v>1</v>
      </c>
    </row>
    <row r="170" spans="1:16" ht="19.5" x14ac:dyDescent="0.25">
      <c r="A170" s="9">
        <v>169</v>
      </c>
      <c r="B170" s="9">
        <v>154</v>
      </c>
      <c r="C170" s="13" t="s">
        <v>176</v>
      </c>
      <c r="D170" s="14">
        <v>9928456175</v>
      </c>
      <c r="E170" s="11" t="s">
        <v>18</v>
      </c>
      <c r="F170" s="10">
        <v>14</v>
      </c>
      <c r="G170" s="10" t="s">
        <v>59</v>
      </c>
      <c r="H170" s="9">
        <v>7597962642</v>
      </c>
      <c r="I170" s="28">
        <v>872</v>
      </c>
      <c r="J170" s="30">
        <f>I170/15</f>
        <v>58.133333333333333</v>
      </c>
      <c r="K170" s="34">
        <f>(J170*4)-L170</f>
        <v>-81.466666666666669</v>
      </c>
      <c r="L170" s="35">
        <v>314</v>
      </c>
      <c r="M170" s="23">
        <f>(L170/I170)*100</f>
        <v>36.009174311926607</v>
      </c>
      <c r="N170" s="35">
        <v>0</v>
      </c>
      <c r="O170" s="23">
        <f>(N170/I170)*100</f>
        <v>0</v>
      </c>
      <c r="P170" s="35">
        <v>1</v>
      </c>
    </row>
    <row r="171" spans="1:16" ht="19.5" x14ac:dyDescent="0.25">
      <c r="A171" s="9">
        <v>170</v>
      </c>
      <c r="B171" s="9">
        <v>88</v>
      </c>
      <c r="C171" s="13" t="s">
        <v>58</v>
      </c>
      <c r="D171" s="15">
        <v>9929587526</v>
      </c>
      <c r="E171" s="11" t="s">
        <v>18</v>
      </c>
      <c r="F171" s="10">
        <v>17</v>
      </c>
      <c r="G171" s="10" t="s">
        <v>69</v>
      </c>
      <c r="H171" s="9">
        <v>6376807994</v>
      </c>
      <c r="I171" s="28">
        <v>694</v>
      </c>
      <c r="J171" s="30">
        <f>I171/15</f>
        <v>46.266666666666666</v>
      </c>
      <c r="K171" s="34">
        <f>(J171*4)-L171</f>
        <v>-93.933333333333337</v>
      </c>
      <c r="L171" s="35">
        <v>279</v>
      </c>
      <c r="M171" s="23">
        <f>(L171/I171)*100</f>
        <v>40.201729106628243</v>
      </c>
      <c r="N171" s="35">
        <v>0</v>
      </c>
      <c r="O171" s="23">
        <f>(N171/I171)*100</f>
        <v>0</v>
      </c>
      <c r="P171" s="35">
        <v>1</v>
      </c>
    </row>
    <row r="172" spans="1:16" ht="19.5" x14ac:dyDescent="0.25">
      <c r="A172" s="9">
        <v>171</v>
      </c>
      <c r="B172" s="9">
        <v>186</v>
      </c>
      <c r="C172" s="13" t="s">
        <v>209</v>
      </c>
      <c r="D172" s="15">
        <v>9079017338</v>
      </c>
      <c r="E172" s="11" t="s">
        <v>5</v>
      </c>
      <c r="F172" s="10">
        <v>10</v>
      </c>
      <c r="G172" s="10" t="s">
        <v>89</v>
      </c>
      <c r="H172" s="9">
        <v>9672114420</v>
      </c>
      <c r="I172" s="28">
        <v>1068</v>
      </c>
      <c r="J172" s="30">
        <f>I172/15</f>
        <v>71.2</v>
      </c>
      <c r="K172" s="34">
        <f>(J172*4)-L172</f>
        <v>238.8</v>
      </c>
      <c r="L172" s="35">
        <v>46</v>
      </c>
      <c r="M172" s="23">
        <f>(L172/I172)*100</f>
        <v>4.3071161048689142</v>
      </c>
      <c r="N172" s="35">
        <v>0</v>
      </c>
      <c r="O172" s="23">
        <f>(N172/I172)*100</f>
        <v>0</v>
      </c>
      <c r="P172" s="35">
        <v>1</v>
      </c>
    </row>
    <row r="173" spans="1:16" ht="39" x14ac:dyDescent="0.25">
      <c r="A173" s="9">
        <v>172</v>
      </c>
      <c r="B173" s="9">
        <v>161</v>
      </c>
      <c r="C173" s="13" t="s">
        <v>146</v>
      </c>
      <c r="D173" s="15" t="s">
        <v>185</v>
      </c>
      <c r="E173" s="11" t="s">
        <v>5</v>
      </c>
      <c r="F173" s="10">
        <v>7</v>
      </c>
      <c r="G173" s="10" t="s">
        <v>179</v>
      </c>
      <c r="H173" s="9">
        <v>9413286477</v>
      </c>
      <c r="I173" s="28">
        <v>881</v>
      </c>
      <c r="J173" s="30">
        <f>I173/15</f>
        <v>58.733333333333334</v>
      </c>
      <c r="K173" s="34">
        <f>(J173*4)-L173</f>
        <v>129.93333333333334</v>
      </c>
      <c r="L173" s="35">
        <v>105</v>
      </c>
      <c r="M173" s="23">
        <f>(L173/I173)*100</f>
        <v>11.91827468785471</v>
      </c>
      <c r="N173" s="35">
        <v>0</v>
      </c>
      <c r="O173" s="23">
        <f>(N173/I173)*100</f>
        <v>0</v>
      </c>
      <c r="P173" s="35">
        <v>1</v>
      </c>
    </row>
    <row r="174" spans="1:16" ht="19.5" x14ac:dyDescent="0.25">
      <c r="A174" s="9">
        <v>173</v>
      </c>
      <c r="B174" s="9">
        <v>8</v>
      </c>
      <c r="C174" s="13" t="s">
        <v>15</v>
      </c>
      <c r="D174" s="15">
        <v>9413611233</v>
      </c>
      <c r="E174" s="11" t="s">
        <v>5</v>
      </c>
      <c r="F174" s="10">
        <v>2</v>
      </c>
      <c r="G174" s="10" t="s">
        <v>13</v>
      </c>
      <c r="H174" s="9">
        <v>9001958468</v>
      </c>
      <c r="I174" s="28">
        <v>1405</v>
      </c>
      <c r="J174" s="30">
        <f>I174/15</f>
        <v>93.666666666666671</v>
      </c>
      <c r="K174" s="34">
        <f>(J174*4)-L174</f>
        <v>197.66666666666669</v>
      </c>
      <c r="L174" s="35">
        <v>177</v>
      </c>
      <c r="M174" s="23">
        <f>(L174/I174)*100</f>
        <v>12.597864768683273</v>
      </c>
      <c r="N174" s="35">
        <v>0</v>
      </c>
      <c r="O174" s="23">
        <f>(N174/I174)*100</f>
        <v>0</v>
      </c>
      <c r="P174" s="35">
        <v>1</v>
      </c>
    </row>
    <row r="175" spans="1:16" ht="19.5" x14ac:dyDescent="0.25">
      <c r="A175" s="9">
        <v>174</v>
      </c>
      <c r="B175" s="9">
        <v>159</v>
      </c>
      <c r="C175" s="13" t="s">
        <v>182</v>
      </c>
      <c r="D175" s="15">
        <v>9929226627</v>
      </c>
      <c r="E175" s="11" t="s">
        <v>5</v>
      </c>
      <c r="F175" s="10">
        <v>7</v>
      </c>
      <c r="G175" s="10" t="s">
        <v>179</v>
      </c>
      <c r="H175" s="9">
        <v>9413286477</v>
      </c>
      <c r="I175" s="28">
        <v>1178</v>
      </c>
      <c r="J175" s="30">
        <f>I175/15</f>
        <v>78.533333333333331</v>
      </c>
      <c r="K175" s="34">
        <f>(J175*4)-L175</f>
        <v>155.13333333333333</v>
      </c>
      <c r="L175" s="35">
        <v>159</v>
      </c>
      <c r="M175" s="23">
        <f>(L175/I175)*100</f>
        <v>13.497453310696095</v>
      </c>
      <c r="N175" s="35">
        <v>0</v>
      </c>
      <c r="O175" s="23">
        <f>(N175/I175)*100</f>
        <v>0</v>
      </c>
      <c r="P175" s="35">
        <v>1</v>
      </c>
    </row>
    <row r="176" spans="1:16" ht="19.5" x14ac:dyDescent="0.25">
      <c r="A176" s="9">
        <v>175</v>
      </c>
      <c r="B176" s="9">
        <v>14</v>
      </c>
      <c r="C176" s="13" t="s">
        <v>23</v>
      </c>
      <c r="D176" s="14">
        <v>9950666381</v>
      </c>
      <c r="E176" s="11" t="s">
        <v>5</v>
      </c>
      <c r="F176" s="10">
        <v>11</v>
      </c>
      <c r="G176" s="10" t="s">
        <v>24</v>
      </c>
      <c r="H176" s="9">
        <v>9829677202</v>
      </c>
      <c r="I176" s="28">
        <v>923</v>
      </c>
      <c r="J176" s="30">
        <f>I176/15</f>
        <v>61.533333333333331</v>
      </c>
      <c r="K176" s="34">
        <f>(J176*4)-L176</f>
        <v>114.13333333333333</v>
      </c>
      <c r="L176" s="35">
        <v>132</v>
      </c>
      <c r="M176" s="23">
        <f>(L176/I176)*100</f>
        <v>14.301191765980498</v>
      </c>
      <c r="N176" s="35">
        <v>0</v>
      </c>
      <c r="O176" s="23">
        <f>(N176/I176)*100</f>
        <v>0</v>
      </c>
      <c r="P176" s="35">
        <v>1</v>
      </c>
    </row>
    <row r="177" spans="1:16" ht="19.5" x14ac:dyDescent="0.25">
      <c r="A177" s="9">
        <v>176</v>
      </c>
      <c r="B177" s="9">
        <v>160</v>
      </c>
      <c r="C177" s="13" t="s">
        <v>183</v>
      </c>
      <c r="D177" s="14">
        <v>9166841806</v>
      </c>
      <c r="E177" s="11" t="s">
        <v>5</v>
      </c>
      <c r="F177" s="10">
        <v>7</v>
      </c>
      <c r="G177" s="10" t="s">
        <v>179</v>
      </c>
      <c r="H177" s="9">
        <v>9413286477</v>
      </c>
      <c r="I177" s="28">
        <v>1034</v>
      </c>
      <c r="J177" s="30">
        <f>I177/15</f>
        <v>68.933333333333337</v>
      </c>
      <c r="K177" s="34">
        <f>(J177*4)-L177</f>
        <v>120.73333333333335</v>
      </c>
      <c r="L177" s="35">
        <v>155</v>
      </c>
      <c r="M177" s="23">
        <f>(L177/I177)*100</f>
        <v>14.990328820116053</v>
      </c>
      <c r="N177" s="35">
        <v>0</v>
      </c>
      <c r="O177" s="23">
        <f>(N177/I177)*100</f>
        <v>0</v>
      </c>
      <c r="P177" s="35">
        <v>1</v>
      </c>
    </row>
    <row r="178" spans="1:16" ht="19.5" x14ac:dyDescent="0.25">
      <c r="A178" s="9">
        <v>177</v>
      </c>
      <c r="B178" s="9">
        <v>64</v>
      </c>
      <c r="C178" s="13" t="s">
        <v>82</v>
      </c>
      <c r="D178" s="15">
        <v>8764278756</v>
      </c>
      <c r="E178" s="11" t="s">
        <v>5</v>
      </c>
      <c r="F178" s="10">
        <v>12</v>
      </c>
      <c r="G178" s="10" t="s">
        <v>83</v>
      </c>
      <c r="H178" s="9">
        <v>9001710199</v>
      </c>
      <c r="I178" s="28">
        <v>1080</v>
      </c>
      <c r="J178" s="30">
        <f>I178/15</f>
        <v>72</v>
      </c>
      <c r="K178" s="34">
        <f>(J178*4)-L178</f>
        <v>123</v>
      </c>
      <c r="L178" s="35">
        <v>165</v>
      </c>
      <c r="M178" s="23">
        <f>(L178/I178)*100</f>
        <v>15.277777777777779</v>
      </c>
      <c r="N178" s="35">
        <v>0</v>
      </c>
      <c r="O178" s="23">
        <f>(N178/I178)*100</f>
        <v>0</v>
      </c>
      <c r="P178" s="35">
        <v>0</v>
      </c>
    </row>
    <row r="179" spans="1:16" ht="19.5" x14ac:dyDescent="0.25">
      <c r="A179" s="9">
        <v>178</v>
      </c>
      <c r="B179" s="9">
        <v>157</v>
      </c>
      <c r="C179" s="13" t="s">
        <v>180</v>
      </c>
      <c r="D179" s="14">
        <v>8769552272</v>
      </c>
      <c r="E179" s="11" t="s">
        <v>5</v>
      </c>
      <c r="F179" s="10">
        <v>7</v>
      </c>
      <c r="G179" s="10" t="s">
        <v>179</v>
      </c>
      <c r="H179" s="9">
        <v>9413286477</v>
      </c>
      <c r="I179" s="28">
        <v>672</v>
      </c>
      <c r="J179" s="30">
        <f>I179/15</f>
        <v>44.8</v>
      </c>
      <c r="K179" s="34">
        <f>(J179*4)-L179</f>
        <v>73.199999999999989</v>
      </c>
      <c r="L179" s="35">
        <v>106</v>
      </c>
      <c r="M179" s="23">
        <f>(L179/I179)*100</f>
        <v>15.773809523809524</v>
      </c>
      <c r="N179" s="35">
        <v>0</v>
      </c>
      <c r="O179" s="23">
        <f>(N179/I179)*100</f>
        <v>0</v>
      </c>
      <c r="P179" s="35">
        <v>0</v>
      </c>
    </row>
    <row r="180" spans="1:16" ht="19.5" x14ac:dyDescent="0.25">
      <c r="A180" s="9">
        <v>179</v>
      </c>
      <c r="B180" s="9">
        <v>71</v>
      </c>
      <c r="C180" s="13" t="s">
        <v>91</v>
      </c>
      <c r="D180" s="15">
        <v>8890072450</v>
      </c>
      <c r="E180" s="11" t="s">
        <v>5</v>
      </c>
      <c r="F180" s="10">
        <v>12</v>
      </c>
      <c r="G180" s="10" t="s">
        <v>83</v>
      </c>
      <c r="H180" s="9">
        <v>9001710199</v>
      </c>
      <c r="I180" s="28">
        <v>1497</v>
      </c>
      <c r="J180" s="30">
        <f>I180/15</f>
        <v>99.8</v>
      </c>
      <c r="K180" s="34">
        <f>(J180*4)-L180</f>
        <v>151.19999999999999</v>
      </c>
      <c r="L180" s="35">
        <v>248</v>
      </c>
      <c r="M180" s="23">
        <f>(L180/I180)*100</f>
        <v>16.566466265865063</v>
      </c>
      <c r="N180" s="35">
        <v>0</v>
      </c>
      <c r="O180" s="23">
        <f>(N180/I180)*100</f>
        <v>0</v>
      </c>
      <c r="P180" s="35">
        <v>0</v>
      </c>
    </row>
    <row r="181" spans="1:16" ht="19.5" x14ac:dyDescent="0.25">
      <c r="A181" s="9">
        <v>180</v>
      </c>
      <c r="B181" s="9">
        <v>7</v>
      </c>
      <c r="C181" s="13" t="s">
        <v>14</v>
      </c>
      <c r="D181" s="15">
        <v>9784732240</v>
      </c>
      <c r="E181" s="11" t="s">
        <v>5</v>
      </c>
      <c r="F181" s="10">
        <v>2</v>
      </c>
      <c r="G181" s="10" t="s">
        <v>13</v>
      </c>
      <c r="H181" s="9">
        <v>9001958468</v>
      </c>
      <c r="I181" s="28">
        <v>1200</v>
      </c>
      <c r="J181" s="30">
        <f>I181/15</f>
        <v>80</v>
      </c>
      <c r="K181" s="34">
        <f>(J181*4)-L181</f>
        <v>101</v>
      </c>
      <c r="L181" s="35">
        <v>219</v>
      </c>
      <c r="M181" s="23">
        <f>(L181/I181)*100</f>
        <v>18.25</v>
      </c>
      <c r="N181" s="35">
        <v>0</v>
      </c>
      <c r="O181" s="23">
        <f>(N181/I181)*100</f>
        <v>0</v>
      </c>
      <c r="P181" s="35">
        <v>0</v>
      </c>
    </row>
    <row r="182" spans="1:16" ht="19.5" x14ac:dyDescent="0.25">
      <c r="A182" s="9">
        <v>181</v>
      </c>
      <c r="B182" s="9">
        <v>158</v>
      </c>
      <c r="C182" s="13" t="s">
        <v>181</v>
      </c>
      <c r="D182" s="15">
        <v>9829532810</v>
      </c>
      <c r="E182" s="11" t="s">
        <v>5</v>
      </c>
      <c r="F182" s="10">
        <v>7</v>
      </c>
      <c r="G182" s="10" t="s">
        <v>179</v>
      </c>
      <c r="H182" s="9">
        <v>9413286477</v>
      </c>
      <c r="I182" s="28">
        <v>1134</v>
      </c>
      <c r="J182" s="30">
        <f>I182/15</f>
        <v>75.599999999999994</v>
      </c>
      <c r="K182" s="34">
        <f>(J182*4)-L182</f>
        <v>90.399999999999977</v>
      </c>
      <c r="L182" s="35">
        <v>212</v>
      </c>
      <c r="M182" s="23">
        <f>(L182/I182)*100</f>
        <v>18.694885361552029</v>
      </c>
      <c r="N182" s="35">
        <v>0</v>
      </c>
      <c r="O182" s="23">
        <f>(N182/I182)*100</f>
        <v>0</v>
      </c>
      <c r="P182" s="35">
        <v>1</v>
      </c>
    </row>
    <row r="183" spans="1:16" ht="19.5" x14ac:dyDescent="0.25">
      <c r="A183" s="9">
        <v>182</v>
      </c>
      <c r="B183" s="9">
        <v>60</v>
      </c>
      <c r="C183" s="13" t="s">
        <v>77</v>
      </c>
      <c r="D183" s="14">
        <v>6350109382</v>
      </c>
      <c r="E183" s="11" t="s">
        <v>5</v>
      </c>
      <c r="F183" s="10">
        <v>3</v>
      </c>
      <c r="G183" s="10" t="s">
        <v>74</v>
      </c>
      <c r="H183" s="9">
        <v>9799638765</v>
      </c>
      <c r="I183" s="28">
        <v>1261</v>
      </c>
      <c r="J183" s="30">
        <f>I183/15</f>
        <v>84.066666666666663</v>
      </c>
      <c r="K183" s="34">
        <f>(J183*4)-L183</f>
        <v>95.266666666666652</v>
      </c>
      <c r="L183" s="35">
        <v>241</v>
      </c>
      <c r="M183" s="23">
        <f>(L183/I183)*100</f>
        <v>19.111816019032513</v>
      </c>
      <c r="N183" s="35">
        <v>0</v>
      </c>
      <c r="O183" s="23">
        <f>(N183/I183)*100</f>
        <v>0</v>
      </c>
      <c r="P183" s="35">
        <v>0</v>
      </c>
    </row>
    <row r="184" spans="1:16" ht="19.5" x14ac:dyDescent="0.25">
      <c r="A184" s="9">
        <v>183</v>
      </c>
      <c r="B184" s="9">
        <v>208</v>
      </c>
      <c r="C184" s="13" t="s">
        <v>231</v>
      </c>
      <c r="D184" s="15">
        <v>9664021296</v>
      </c>
      <c r="E184" s="11" t="s">
        <v>5</v>
      </c>
      <c r="F184" s="10">
        <v>7</v>
      </c>
      <c r="G184" s="10" t="s">
        <v>179</v>
      </c>
      <c r="H184" s="9">
        <v>9413286477</v>
      </c>
      <c r="I184" s="28">
        <v>1247</v>
      </c>
      <c r="J184" s="30">
        <f>I184/15</f>
        <v>83.13333333333334</v>
      </c>
      <c r="K184" s="34">
        <f>(J184*4)-L184</f>
        <v>93.53333333333336</v>
      </c>
      <c r="L184" s="35">
        <v>239</v>
      </c>
      <c r="M184" s="23">
        <f>(L184/I184)*100</f>
        <v>19.165998396150762</v>
      </c>
      <c r="N184" s="35">
        <v>0</v>
      </c>
      <c r="O184" s="23">
        <f>(N184/I184)*100</f>
        <v>0</v>
      </c>
      <c r="P184" s="35">
        <v>1</v>
      </c>
    </row>
    <row r="185" spans="1:16" ht="39" x14ac:dyDescent="0.25">
      <c r="A185" s="9">
        <v>184</v>
      </c>
      <c r="B185" s="9">
        <v>162</v>
      </c>
      <c r="C185" s="13" t="s">
        <v>184</v>
      </c>
      <c r="D185" s="15" t="s">
        <v>186</v>
      </c>
      <c r="E185" s="11" t="s">
        <v>5</v>
      </c>
      <c r="F185" s="10">
        <v>7</v>
      </c>
      <c r="G185" s="10" t="s">
        <v>179</v>
      </c>
      <c r="H185" s="9">
        <v>9413286477</v>
      </c>
      <c r="I185" s="28">
        <v>845</v>
      </c>
      <c r="J185" s="30">
        <f>I185/15</f>
        <v>56.333333333333336</v>
      </c>
      <c r="K185" s="34">
        <f>(J185*4)-L185</f>
        <v>61.333333333333343</v>
      </c>
      <c r="L185" s="35">
        <v>164</v>
      </c>
      <c r="M185" s="23">
        <f>(L185/I185)*100</f>
        <v>19.408284023668639</v>
      </c>
      <c r="N185" s="35">
        <v>0</v>
      </c>
      <c r="O185" s="23">
        <f>(N185/I185)*100</f>
        <v>0</v>
      </c>
      <c r="P185" s="35">
        <v>1</v>
      </c>
    </row>
    <row r="186" spans="1:16" ht="19.5" x14ac:dyDescent="0.25">
      <c r="A186" s="9">
        <v>185</v>
      </c>
      <c r="B186" s="9">
        <v>18</v>
      </c>
      <c r="C186" s="16" t="s">
        <v>30</v>
      </c>
      <c r="D186" s="15">
        <v>9116934442</v>
      </c>
      <c r="E186" s="11" t="s">
        <v>5</v>
      </c>
      <c r="F186" s="10">
        <v>11</v>
      </c>
      <c r="G186" s="10" t="s">
        <v>24</v>
      </c>
      <c r="H186" s="9">
        <v>9829677202</v>
      </c>
      <c r="I186" s="28">
        <v>1014</v>
      </c>
      <c r="J186" s="30">
        <f>I186/15</f>
        <v>67.599999999999994</v>
      </c>
      <c r="K186" s="34">
        <f>(J186*4)-L186</f>
        <v>71.399999999999977</v>
      </c>
      <c r="L186" s="35">
        <v>199</v>
      </c>
      <c r="M186" s="23">
        <f>(L186/I186)*100</f>
        <v>19.625246548323471</v>
      </c>
      <c r="N186" s="35">
        <v>0</v>
      </c>
      <c r="O186" s="23">
        <f>(N186/I186)*100</f>
        <v>0</v>
      </c>
      <c r="P186" s="35">
        <v>1</v>
      </c>
    </row>
    <row r="187" spans="1:16" ht="19.5" x14ac:dyDescent="0.25">
      <c r="A187" s="9">
        <v>186</v>
      </c>
      <c r="B187" s="9">
        <v>22</v>
      </c>
      <c r="C187" s="13" t="s">
        <v>33</v>
      </c>
      <c r="D187" s="15">
        <v>8107938553</v>
      </c>
      <c r="E187" s="11" t="s">
        <v>5</v>
      </c>
      <c r="F187" s="10">
        <v>11</v>
      </c>
      <c r="G187" s="10" t="s">
        <v>24</v>
      </c>
      <c r="H187" s="9">
        <v>9829677202</v>
      </c>
      <c r="I187" s="28">
        <v>1303</v>
      </c>
      <c r="J187" s="30">
        <f>I187/15</f>
        <v>86.86666666666666</v>
      </c>
      <c r="K187" s="34">
        <f>(J187*4)-L187</f>
        <v>87.46666666666664</v>
      </c>
      <c r="L187" s="35">
        <v>260</v>
      </c>
      <c r="M187" s="23">
        <f>(L187/I187)*100</f>
        <v>19.95395241749808</v>
      </c>
      <c r="N187" s="35">
        <v>0</v>
      </c>
      <c r="O187" s="23">
        <f>(N187/I187)*100</f>
        <v>0</v>
      </c>
      <c r="P187" s="35">
        <v>1</v>
      </c>
    </row>
    <row r="188" spans="1:16" ht="19.5" x14ac:dyDescent="0.25">
      <c r="A188" s="9">
        <v>187</v>
      </c>
      <c r="B188" s="9">
        <v>19</v>
      </c>
      <c r="C188" s="13" t="s">
        <v>31</v>
      </c>
      <c r="D188" s="15">
        <v>8107818581</v>
      </c>
      <c r="E188" s="11" t="s">
        <v>5</v>
      </c>
      <c r="F188" s="10">
        <v>11</v>
      </c>
      <c r="G188" s="10" t="s">
        <v>24</v>
      </c>
      <c r="H188" s="9">
        <v>9829677202</v>
      </c>
      <c r="I188" s="28">
        <v>1249</v>
      </c>
      <c r="J188" s="30">
        <f>I188/15</f>
        <v>83.266666666666666</v>
      </c>
      <c r="K188" s="34">
        <f>(J188*4)-L188</f>
        <v>82.066666666666663</v>
      </c>
      <c r="L188" s="35">
        <v>251</v>
      </c>
      <c r="M188" s="23">
        <f>(L188/I188)*100</f>
        <v>20.096076861489191</v>
      </c>
      <c r="N188" s="35">
        <v>0</v>
      </c>
      <c r="O188" s="23">
        <f>(N188/I188)*100</f>
        <v>0</v>
      </c>
      <c r="P188" s="35">
        <v>1</v>
      </c>
    </row>
    <row r="189" spans="1:16" ht="19.5" x14ac:dyDescent="0.25">
      <c r="A189" s="9">
        <v>188</v>
      </c>
      <c r="B189" s="9">
        <v>156</v>
      </c>
      <c r="C189" s="13" t="s">
        <v>178</v>
      </c>
      <c r="D189" s="15">
        <v>6350506596</v>
      </c>
      <c r="E189" s="11" t="s">
        <v>5</v>
      </c>
      <c r="F189" s="10">
        <v>7</v>
      </c>
      <c r="G189" s="10" t="s">
        <v>179</v>
      </c>
      <c r="H189" s="9">
        <v>9413286477</v>
      </c>
      <c r="I189" s="28">
        <v>997</v>
      </c>
      <c r="J189" s="30">
        <f>I189/15</f>
        <v>66.466666666666669</v>
      </c>
      <c r="K189" s="34">
        <f>(J189*4)-L189</f>
        <v>63.866666666666674</v>
      </c>
      <c r="L189" s="35">
        <v>202</v>
      </c>
      <c r="M189" s="23">
        <f>(L189/I189)*100</f>
        <v>20.260782347041122</v>
      </c>
      <c r="N189" s="35">
        <v>0</v>
      </c>
      <c r="O189" s="23">
        <f>(N189/I189)*100</f>
        <v>0</v>
      </c>
      <c r="P189" s="35">
        <v>0</v>
      </c>
    </row>
    <row r="190" spans="1:16" ht="19.5" x14ac:dyDescent="0.25">
      <c r="A190" s="9">
        <v>189</v>
      </c>
      <c r="B190" s="9">
        <v>210</v>
      </c>
      <c r="C190" s="13" t="s">
        <v>233</v>
      </c>
      <c r="D190" s="14">
        <v>9414977110</v>
      </c>
      <c r="E190" s="11" t="s">
        <v>5</v>
      </c>
      <c r="F190" s="10">
        <v>7</v>
      </c>
      <c r="G190" s="10" t="s">
        <v>179</v>
      </c>
      <c r="H190" s="9">
        <v>9413286477</v>
      </c>
      <c r="I190" s="28">
        <v>667</v>
      </c>
      <c r="J190" s="30">
        <f>I190/15</f>
        <v>44.466666666666669</v>
      </c>
      <c r="K190" s="34">
        <f>(J190*4)-L190</f>
        <v>40.866666666666674</v>
      </c>
      <c r="L190" s="35">
        <v>137</v>
      </c>
      <c r="M190" s="23">
        <f>(L190/I190)*100</f>
        <v>20.539730134932537</v>
      </c>
      <c r="N190" s="35">
        <v>0</v>
      </c>
      <c r="O190" s="23">
        <f>(N190/I190)*100</f>
        <v>0</v>
      </c>
      <c r="P190" s="35">
        <v>1</v>
      </c>
    </row>
    <row r="191" spans="1:16" ht="19.5" x14ac:dyDescent="0.25">
      <c r="A191" s="9">
        <v>190</v>
      </c>
      <c r="B191" s="9">
        <v>207</v>
      </c>
      <c r="C191" s="13" t="s">
        <v>229</v>
      </c>
      <c r="D191" s="15">
        <v>9001960371</v>
      </c>
      <c r="E191" s="11" t="s">
        <v>5</v>
      </c>
      <c r="F191" s="10">
        <v>9</v>
      </c>
      <c r="G191" s="10" t="s">
        <v>187</v>
      </c>
      <c r="H191" s="9">
        <v>9001283247</v>
      </c>
      <c r="I191" s="28">
        <v>1120</v>
      </c>
      <c r="J191" s="30">
        <f>I191/15</f>
        <v>74.666666666666671</v>
      </c>
      <c r="K191" s="34">
        <f>(J191*4)-L191</f>
        <v>57.666666666666686</v>
      </c>
      <c r="L191" s="35">
        <v>241</v>
      </c>
      <c r="M191" s="23">
        <f>(L191/I191)*100</f>
        <v>21.517857142857146</v>
      </c>
      <c r="N191" s="35">
        <v>0</v>
      </c>
      <c r="O191" s="23">
        <f>(N191/I191)*100</f>
        <v>0</v>
      </c>
      <c r="P191" s="35">
        <v>1</v>
      </c>
    </row>
    <row r="192" spans="1:16" ht="19.5" x14ac:dyDescent="0.25">
      <c r="A192" s="9">
        <v>191</v>
      </c>
      <c r="B192" s="9">
        <v>165</v>
      </c>
      <c r="C192" s="13" t="s">
        <v>189</v>
      </c>
      <c r="D192" s="15">
        <v>9829830408</v>
      </c>
      <c r="E192" s="11" t="s">
        <v>5</v>
      </c>
      <c r="F192" s="10">
        <v>9</v>
      </c>
      <c r="G192" s="10" t="s">
        <v>187</v>
      </c>
      <c r="H192" s="9">
        <v>9001283247</v>
      </c>
      <c r="I192" s="28">
        <v>1094</v>
      </c>
      <c r="J192" s="30">
        <f>I192/15</f>
        <v>72.933333333333337</v>
      </c>
      <c r="K192" s="34">
        <f>(J192*4)-L192</f>
        <v>52.733333333333348</v>
      </c>
      <c r="L192" s="35">
        <v>239</v>
      </c>
      <c r="M192" s="23">
        <f>(L192/I192)*100</f>
        <v>21.846435100548444</v>
      </c>
      <c r="N192" s="35">
        <v>0</v>
      </c>
      <c r="O192" s="23">
        <f>(N192/I192)*100</f>
        <v>0</v>
      </c>
      <c r="P192" s="35">
        <v>1</v>
      </c>
    </row>
    <row r="193" spans="1:16" ht="39" x14ac:dyDescent="0.25">
      <c r="A193" s="9">
        <v>192</v>
      </c>
      <c r="B193" s="9">
        <v>15</v>
      </c>
      <c r="C193" s="13" t="s">
        <v>25</v>
      </c>
      <c r="D193" s="15" t="s">
        <v>27</v>
      </c>
      <c r="E193" s="11" t="s">
        <v>5</v>
      </c>
      <c r="F193" s="10">
        <v>11</v>
      </c>
      <c r="G193" s="10" t="s">
        <v>24</v>
      </c>
      <c r="H193" s="9">
        <v>9829677202</v>
      </c>
      <c r="I193" s="28">
        <v>853</v>
      </c>
      <c r="J193" s="30">
        <f>I193/15</f>
        <v>56.866666666666667</v>
      </c>
      <c r="K193" s="34">
        <f>(J193*4)-L193</f>
        <v>35.466666666666669</v>
      </c>
      <c r="L193" s="35">
        <v>192</v>
      </c>
      <c r="M193" s="23">
        <f>(L193/I193)*100</f>
        <v>22.50879249706917</v>
      </c>
      <c r="N193" s="35">
        <v>1</v>
      </c>
      <c r="O193" s="23">
        <f>(N193/I193)*100</f>
        <v>0.11723329425556857</v>
      </c>
      <c r="P193" s="35">
        <v>1</v>
      </c>
    </row>
    <row r="194" spans="1:16" ht="19.5" x14ac:dyDescent="0.25">
      <c r="A194" s="9">
        <v>193</v>
      </c>
      <c r="B194" s="9">
        <v>205</v>
      </c>
      <c r="C194" s="13" t="s">
        <v>227</v>
      </c>
      <c r="D194" s="14">
        <v>9549661904</v>
      </c>
      <c r="E194" s="11" t="s">
        <v>5</v>
      </c>
      <c r="F194" s="10">
        <v>9</v>
      </c>
      <c r="G194" s="10" t="s">
        <v>187</v>
      </c>
      <c r="H194" s="9">
        <v>9001283247</v>
      </c>
      <c r="I194" s="28">
        <v>1442</v>
      </c>
      <c r="J194" s="30">
        <f>I194/15</f>
        <v>96.13333333333334</v>
      </c>
      <c r="K194" s="34">
        <f>(J194*4)-L194</f>
        <v>58.53333333333336</v>
      </c>
      <c r="L194" s="35">
        <v>326</v>
      </c>
      <c r="M194" s="23">
        <f>(L194/I194)*100</f>
        <v>22.607489597780862</v>
      </c>
      <c r="N194" s="35">
        <v>0</v>
      </c>
      <c r="O194" s="23">
        <f>(N194/I194)*100</f>
        <v>0</v>
      </c>
      <c r="P194" s="35">
        <v>1</v>
      </c>
    </row>
    <row r="195" spans="1:16" ht="19.5" x14ac:dyDescent="0.25">
      <c r="A195" s="9">
        <v>194</v>
      </c>
      <c r="B195" s="9">
        <v>169</v>
      </c>
      <c r="C195" s="13" t="s">
        <v>193</v>
      </c>
      <c r="D195" s="14">
        <v>9413763284</v>
      </c>
      <c r="E195" s="11" t="s">
        <v>5</v>
      </c>
      <c r="F195" s="10">
        <v>9</v>
      </c>
      <c r="G195" s="10" t="s">
        <v>187</v>
      </c>
      <c r="H195" s="9">
        <v>9001283247</v>
      </c>
      <c r="I195" s="28">
        <v>1334</v>
      </c>
      <c r="J195" s="30">
        <f>I195/15</f>
        <v>88.933333333333337</v>
      </c>
      <c r="K195" s="34">
        <f>(J195*4)-L195</f>
        <v>48.733333333333348</v>
      </c>
      <c r="L195" s="35">
        <v>307</v>
      </c>
      <c r="M195" s="23">
        <f>(L195/I195)*100</f>
        <v>23.013493253373312</v>
      </c>
      <c r="N195" s="35">
        <v>5</v>
      </c>
      <c r="O195" s="23">
        <f>(N195/I195)*100</f>
        <v>0.3748125937031484</v>
      </c>
      <c r="P195" s="35">
        <v>0</v>
      </c>
    </row>
    <row r="196" spans="1:16" ht="39" x14ac:dyDescent="0.25">
      <c r="A196" s="9">
        <v>195</v>
      </c>
      <c r="B196" s="9">
        <v>206</v>
      </c>
      <c r="C196" s="13" t="s">
        <v>228</v>
      </c>
      <c r="D196" s="15" t="s">
        <v>230</v>
      </c>
      <c r="E196" s="11" t="s">
        <v>5</v>
      </c>
      <c r="F196" s="10">
        <v>9</v>
      </c>
      <c r="G196" s="10" t="s">
        <v>187</v>
      </c>
      <c r="H196" s="9">
        <v>9001283247</v>
      </c>
      <c r="I196" s="28">
        <v>737</v>
      </c>
      <c r="J196" s="30">
        <f>I196/15</f>
        <v>49.133333333333333</v>
      </c>
      <c r="K196" s="34">
        <f>(J196*4)-L196</f>
        <v>24.533333333333331</v>
      </c>
      <c r="L196" s="35">
        <v>172</v>
      </c>
      <c r="M196" s="23">
        <f>(L196/I196)*100</f>
        <v>23.337856173677068</v>
      </c>
      <c r="N196" s="35">
        <v>0</v>
      </c>
      <c r="O196" s="23">
        <f>(N196/I196)*100</f>
        <v>0</v>
      </c>
      <c r="P196" s="35">
        <v>1</v>
      </c>
    </row>
    <row r="197" spans="1:16" ht="19.5" x14ac:dyDescent="0.25">
      <c r="A197" s="9">
        <v>196</v>
      </c>
      <c r="B197" s="9">
        <v>74</v>
      </c>
      <c r="C197" s="13" t="s">
        <v>93</v>
      </c>
      <c r="D197" s="14">
        <v>8003683168</v>
      </c>
      <c r="E197" s="11" t="s">
        <v>5</v>
      </c>
      <c r="F197" s="10">
        <v>12</v>
      </c>
      <c r="G197" s="10" t="s">
        <v>83</v>
      </c>
      <c r="H197" s="9">
        <v>9001710199</v>
      </c>
      <c r="I197" s="28">
        <v>1040</v>
      </c>
      <c r="J197" s="30">
        <f>I197/15</f>
        <v>69.333333333333329</v>
      </c>
      <c r="K197" s="34">
        <f>(J197*4)-L197</f>
        <v>33.333333333333314</v>
      </c>
      <c r="L197" s="35">
        <v>244</v>
      </c>
      <c r="M197" s="23">
        <f>(L197/I197)*100</f>
        <v>23.46153846153846</v>
      </c>
      <c r="N197" s="35">
        <v>0</v>
      </c>
      <c r="O197" s="23">
        <f>(N197/I197)*100</f>
        <v>0</v>
      </c>
      <c r="P197" s="35">
        <v>0</v>
      </c>
    </row>
    <row r="198" spans="1:16" ht="19.5" x14ac:dyDescent="0.25">
      <c r="A198" s="9">
        <v>197</v>
      </c>
      <c r="B198" s="9">
        <v>81</v>
      </c>
      <c r="C198" s="13" t="s">
        <v>100</v>
      </c>
      <c r="D198" s="14">
        <v>8107880224</v>
      </c>
      <c r="E198" s="11" t="s">
        <v>5</v>
      </c>
      <c r="F198" s="10">
        <v>3</v>
      </c>
      <c r="G198" s="10" t="s">
        <v>74</v>
      </c>
      <c r="H198" s="9">
        <v>9799638765</v>
      </c>
      <c r="I198" s="28">
        <v>850</v>
      </c>
      <c r="J198" s="30">
        <f>I198/15</f>
        <v>56.666666666666664</v>
      </c>
      <c r="K198" s="34">
        <f>(J198*4)-L198</f>
        <v>24.666666666666657</v>
      </c>
      <c r="L198" s="35">
        <v>202</v>
      </c>
      <c r="M198" s="23">
        <f>(L198/I198)*100</f>
        <v>23.764705882352942</v>
      </c>
      <c r="N198" s="35">
        <v>0</v>
      </c>
      <c r="O198" s="23">
        <f>(N198/I198)*100</f>
        <v>0</v>
      </c>
      <c r="P198" s="35">
        <v>1</v>
      </c>
    </row>
    <row r="199" spans="1:16" ht="19.5" x14ac:dyDescent="0.25">
      <c r="A199" s="9">
        <v>198</v>
      </c>
      <c r="B199" s="9">
        <v>1</v>
      </c>
      <c r="C199" s="13" t="s">
        <v>6</v>
      </c>
      <c r="D199" s="14">
        <v>8290451599</v>
      </c>
      <c r="E199" s="11" t="s">
        <v>5</v>
      </c>
      <c r="F199" s="10">
        <v>1</v>
      </c>
      <c r="G199" s="10" t="s">
        <v>7</v>
      </c>
      <c r="H199" s="9">
        <v>9460846968</v>
      </c>
      <c r="I199" s="28">
        <v>977</v>
      </c>
      <c r="J199" s="30">
        <f>I199/15</f>
        <v>65.13333333333334</v>
      </c>
      <c r="K199" s="34">
        <f>(J199*4)-L199</f>
        <v>23.53333333333336</v>
      </c>
      <c r="L199" s="35">
        <v>237</v>
      </c>
      <c r="M199" s="23">
        <f>(L199/I199)*100</f>
        <v>24.257932446264075</v>
      </c>
      <c r="N199" s="35">
        <v>0</v>
      </c>
      <c r="O199" s="23">
        <f>(N199/I199)*100</f>
        <v>0</v>
      </c>
      <c r="P199" s="35">
        <v>1</v>
      </c>
    </row>
    <row r="200" spans="1:16" ht="19.5" x14ac:dyDescent="0.25">
      <c r="A200" s="9">
        <v>199</v>
      </c>
      <c r="B200" s="9">
        <v>59</v>
      </c>
      <c r="C200" s="13" t="s">
        <v>76</v>
      </c>
      <c r="D200" s="14">
        <v>9602633762</v>
      </c>
      <c r="E200" s="11" t="s">
        <v>5</v>
      </c>
      <c r="F200" s="10">
        <v>3</v>
      </c>
      <c r="G200" s="10" t="s">
        <v>74</v>
      </c>
      <c r="H200" s="9">
        <v>9799638765</v>
      </c>
      <c r="I200" s="28">
        <v>819</v>
      </c>
      <c r="J200" s="30">
        <f>I200/15</f>
        <v>54.6</v>
      </c>
      <c r="K200" s="34">
        <f>(J200*4)-L200</f>
        <v>18.400000000000006</v>
      </c>
      <c r="L200" s="35">
        <v>200</v>
      </c>
      <c r="M200" s="23">
        <f>(L200/I200)*100</f>
        <v>24.420024420024419</v>
      </c>
      <c r="N200" s="35">
        <v>0</v>
      </c>
      <c r="O200" s="23">
        <f>(N200/I200)*100</f>
        <v>0</v>
      </c>
      <c r="P200" s="35">
        <v>1</v>
      </c>
    </row>
    <row r="201" spans="1:16" ht="19.5" x14ac:dyDescent="0.25">
      <c r="A201" s="9">
        <v>200</v>
      </c>
      <c r="B201" s="9">
        <v>164</v>
      </c>
      <c r="C201" s="13" t="s">
        <v>188</v>
      </c>
      <c r="D201" s="15">
        <v>9001315697</v>
      </c>
      <c r="E201" s="11" t="s">
        <v>5</v>
      </c>
      <c r="F201" s="10">
        <v>9</v>
      </c>
      <c r="G201" s="10" t="s">
        <v>187</v>
      </c>
      <c r="H201" s="9">
        <v>9001283247</v>
      </c>
      <c r="I201" s="28">
        <v>1066</v>
      </c>
      <c r="J201" s="30">
        <f>I201/15</f>
        <v>71.066666666666663</v>
      </c>
      <c r="K201" s="34">
        <f>(J201*4)-L201</f>
        <v>23.266666666666652</v>
      </c>
      <c r="L201" s="35">
        <v>261</v>
      </c>
      <c r="M201" s="23">
        <f>(L201/I201)*100</f>
        <v>24.484052532833019</v>
      </c>
      <c r="N201" s="35">
        <v>0</v>
      </c>
      <c r="O201" s="23">
        <f>(N201/I201)*100</f>
        <v>0</v>
      </c>
      <c r="P201" s="35">
        <v>1</v>
      </c>
    </row>
    <row r="202" spans="1:16" ht="19.5" x14ac:dyDescent="0.25">
      <c r="A202" s="9">
        <v>201</v>
      </c>
      <c r="B202" s="9">
        <v>209</v>
      </c>
      <c r="C202" s="13" t="s">
        <v>232</v>
      </c>
      <c r="D202" s="15">
        <v>6375549434</v>
      </c>
      <c r="E202" s="11" t="s">
        <v>5</v>
      </c>
      <c r="F202" s="10">
        <v>7</v>
      </c>
      <c r="G202" s="10" t="s">
        <v>179</v>
      </c>
      <c r="H202" s="9">
        <v>9413286477</v>
      </c>
      <c r="I202" s="28">
        <v>731</v>
      </c>
      <c r="J202" s="30">
        <f>I202/15</f>
        <v>48.733333333333334</v>
      </c>
      <c r="K202" s="34">
        <f>(J202*4)-L202</f>
        <v>15.933333333333337</v>
      </c>
      <c r="L202" s="35">
        <v>179</v>
      </c>
      <c r="M202" s="23">
        <f>(L202/I202)*100</f>
        <v>24.48700410396717</v>
      </c>
      <c r="N202" s="35">
        <v>0</v>
      </c>
      <c r="O202" s="23">
        <f>(N202/I202)*100</f>
        <v>0</v>
      </c>
      <c r="P202" s="35">
        <v>1</v>
      </c>
    </row>
    <row r="203" spans="1:16" ht="19.5" x14ac:dyDescent="0.25">
      <c r="A203" s="9">
        <v>202</v>
      </c>
      <c r="B203" s="9">
        <v>57</v>
      </c>
      <c r="C203" s="13" t="s">
        <v>73</v>
      </c>
      <c r="D203" s="15">
        <v>9001981998</v>
      </c>
      <c r="E203" s="11" t="s">
        <v>5</v>
      </c>
      <c r="F203" s="10">
        <v>3</v>
      </c>
      <c r="G203" s="10" t="s">
        <v>74</v>
      </c>
      <c r="H203" s="9">
        <v>9799638765</v>
      </c>
      <c r="I203" s="28">
        <v>1137</v>
      </c>
      <c r="J203" s="30">
        <f>I203/15</f>
        <v>75.8</v>
      </c>
      <c r="K203" s="34">
        <f>(J203*4)-L203</f>
        <v>21.199999999999989</v>
      </c>
      <c r="L203" s="35">
        <v>282</v>
      </c>
      <c r="M203" s="23">
        <f>(L203/I203)*100</f>
        <v>24.802110817941951</v>
      </c>
      <c r="N203" s="35">
        <v>0</v>
      </c>
      <c r="O203" s="23">
        <f>(N203/I203)*100</f>
        <v>0</v>
      </c>
      <c r="P203" s="35">
        <v>1</v>
      </c>
    </row>
    <row r="204" spans="1:16" ht="19.5" x14ac:dyDescent="0.25">
      <c r="A204" s="9">
        <v>203</v>
      </c>
      <c r="B204" s="9">
        <v>6</v>
      </c>
      <c r="C204" s="13" t="s">
        <v>12</v>
      </c>
      <c r="D204" s="15">
        <v>8003180645</v>
      </c>
      <c r="E204" s="11" t="s">
        <v>5</v>
      </c>
      <c r="F204" s="10">
        <v>2</v>
      </c>
      <c r="G204" s="10" t="s">
        <v>13</v>
      </c>
      <c r="H204" s="9">
        <v>9001958468</v>
      </c>
      <c r="I204" s="28">
        <v>584</v>
      </c>
      <c r="J204" s="30">
        <f>I204/15</f>
        <v>38.93333333333333</v>
      </c>
      <c r="K204" s="34">
        <f>(J204*4)-L204</f>
        <v>10.73333333333332</v>
      </c>
      <c r="L204" s="35">
        <v>145</v>
      </c>
      <c r="M204" s="23">
        <f>(L204/I204)*100</f>
        <v>24.828767123287669</v>
      </c>
      <c r="N204" s="35">
        <v>0</v>
      </c>
      <c r="O204" s="23">
        <f>(N204/I204)*100</f>
        <v>0</v>
      </c>
      <c r="P204" s="35">
        <v>1</v>
      </c>
    </row>
    <row r="205" spans="1:16" ht="19.5" x14ac:dyDescent="0.25">
      <c r="A205" s="9">
        <v>204</v>
      </c>
      <c r="B205" s="9">
        <v>79</v>
      </c>
      <c r="C205" s="13" t="s">
        <v>98</v>
      </c>
      <c r="D205" s="15">
        <v>6377951464</v>
      </c>
      <c r="E205" s="11" t="s">
        <v>5</v>
      </c>
      <c r="F205" s="10">
        <v>3</v>
      </c>
      <c r="G205" s="10" t="s">
        <v>74</v>
      </c>
      <c r="H205" s="9">
        <v>9799638765</v>
      </c>
      <c r="I205" s="28">
        <v>1324</v>
      </c>
      <c r="J205" s="30">
        <f>I205/15</f>
        <v>88.266666666666666</v>
      </c>
      <c r="K205" s="34">
        <f>(J205*4)-L205</f>
        <v>22.066666666666663</v>
      </c>
      <c r="L205" s="35">
        <v>331</v>
      </c>
      <c r="M205" s="23">
        <f>(L205/I205)*100</f>
        <v>25</v>
      </c>
      <c r="N205" s="35">
        <v>0</v>
      </c>
      <c r="O205" s="23">
        <f>(N205/I205)*100</f>
        <v>0</v>
      </c>
      <c r="P205" s="35">
        <v>1</v>
      </c>
    </row>
    <row r="206" spans="1:16" ht="19.5" x14ac:dyDescent="0.25">
      <c r="A206" s="9">
        <v>205</v>
      </c>
      <c r="B206" s="9">
        <v>187</v>
      </c>
      <c r="C206" s="13" t="s">
        <v>198</v>
      </c>
      <c r="D206" s="15">
        <v>9521175313</v>
      </c>
      <c r="E206" s="11" t="s">
        <v>5</v>
      </c>
      <c r="F206" s="10">
        <v>10</v>
      </c>
      <c r="G206" s="10" t="s">
        <v>89</v>
      </c>
      <c r="H206" s="9">
        <v>9672114420</v>
      </c>
      <c r="I206" s="28">
        <v>1080</v>
      </c>
      <c r="J206" s="30">
        <f>I206/15</f>
        <v>72</v>
      </c>
      <c r="K206" s="34">
        <f>(J206*4)-L206</f>
        <v>13</v>
      </c>
      <c r="L206" s="35">
        <v>275</v>
      </c>
      <c r="M206" s="23">
        <f>(L206/I206)*100</f>
        <v>25.462962962962965</v>
      </c>
      <c r="N206" s="35">
        <v>0</v>
      </c>
      <c r="O206" s="23">
        <f>(N206/I206)*100</f>
        <v>0</v>
      </c>
      <c r="P206" s="35">
        <v>0</v>
      </c>
    </row>
    <row r="207" spans="1:16" ht="19.5" x14ac:dyDescent="0.25">
      <c r="A207" s="9">
        <v>206</v>
      </c>
      <c r="B207" s="9">
        <v>3</v>
      </c>
      <c r="C207" s="13" t="s">
        <v>9</v>
      </c>
      <c r="D207" s="14">
        <v>8769729913</v>
      </c>
      <c r="E207" s="11" t="s">
        <v>5</v>
      </c>
      <c r="F207" s="10">
        <v>1</v>
      </c>
      <c r="G207" s="10" t="s">
        <v>7</v>
      </c>
      <c r="H207" s="9">
        <v>9460846968</v>
      </c>
      <c r="I207" s="28">
        <v>935</v>
      </c>
      <c r="J207" s="30">
        <f>I207/15</f>
        <v>62.333333333333336</v>
      </c>
      <c r="K207" s="34">
        <f>(J207*4)-L207</f>
        <v>10.333333333333343</v>
      </c>
      <c r="L207" s="35">
        <v>239</v>
      </c>
      <c r="M207" s="23">
        <f>(L207/I207)*100</f>
        <v>25.561497326203209</v>
      </c>
      <c r="N207" s="35">
        <v>0</v>
      </c>
      <c r="O207" s="23">
        <f>(N207/I207)*100</f>
        <v>0</v>
      </c>
      <c r="P207" s="35">
        <v>1</v>
      </c>
    </row>
    <row r="208" spans="1:16" ht="19.5" x14ac:dyDescent="0.25">
      <c r="A208" s="9">
        <v>207</v>
      </c>
      <c r="B208" s="9">
        <v>72</v>
      </c>
      <c r="C208" s="13" t="s">
        <v>16</v>
      </c>
      <c r="D208" s="15">
        <v>9636210690</v>
      </c>
      <c r="E208" s="11" t="s">
        <v>5</v>
      </c>
      <c r="F208" s="10">
        <v>12</v>
      </c>
      <c r="G208" s="10" t="s">
        <v>83</v>
      </c>
      <c r="H208" s="9">
        <v>9001710199</v>
      </c>
      <c r="I208" s="28">
        <v>1035</v>
      </c>
      <c r="J208" s="30">
        <f>I208/15</f>
        <v>69</v>
      </c>
      <c r="K208" s="34">
        <f>(J208*4)-L208</f>
        <v>11</v>
      </c>
      <c r="L208" s="35">
        <v>265</v>
      </c>
      <c r="M208" s="23">
        <f>(L208/I208)*100</f>
        <v>25.60386473429952</v>
      </c>
      <c r="N208" s="35">
        <v>0</v>
      </c>
      <c r="O208" s="23">
        <f>(N208/I208)*100</f>
        <v>0</v>
      </c>
      <c r="P208" s="35">
        <v>1</v>
      </c>
    </row>
    <row r="209" spans="1:16" ht="19.5" x14ac:dyDescent="0.25">
      <c r="A209" s="9">
        <v>208</v>
      </c>
      <c r="B209" s="9">
        <v>20</v>
      </c>
      <c r="C209" s="13" t="s">
        <v>13</v>
      </c>
      <c r="D209" s="17">
        <v>9950698541</v>
      </c>
      <c r="E209" s="11" t="s">
        <v>5</v>
      </c>
      <c r="F209" s="10">
        <v>11</v>
      </c>
      <c r="G209" s="10" t="s">
        <v>24</v>
      </c>
      <c r="H209" s="9">
        <v>9829677202</v>
      </c>
      <c r="I209" s="28">
        <v>1131</v>
      </c>
      <c r="J209" s="30">
        <f>I209/15</f>
        <v>75.400000000000006</v>
      </c>
      <c r="K209" s="34">
        <f>(J209*4)-L209</f>
        <v>8.6000000000000227</v>
      </c>
      <c r="L209" s="35">
        <v>293</v>
      </c>
      <c r="M209" s="23">
        <f>(L209/I209)*100</f>
        <v>25.906277630415563</v>
      </c>
      <c r="N209" s="35">
        <v>0</v>
      </c>
      <c r="O209" s="23">
        <f>(N209/I209)*100</f>
        <v>0</v>
      </c>
      <c r="P209" s="35">
        <v>1</v>
      </c>
    </row>
    <row r="210" spans="1:16" ht="19.5" x14ac:dyDescent="0.25">
      <c r="A210" s="9">
        <v>209</v>
      </c>
      <c r="B210" s="9">
        <v>9</v>
      </c>
      <c r="C210" s="13" t="s">
        <v>16</v>
      </c>
      <c r="D210" s="15">
        <v>9799992837</v>
      </c>
      <c r="E210" s="11" t="s">
        <v>5</v>
      </c>
      <c r="F210" s="10">
        <v>2</v>
      </c>
      <c r="G210" s="10" t="s">
        <v>13</v>
      </c>
      <c r="H210" s="9">
        <v>9001958468</v>
      </c>
      <c r="I210" s="28">
        <v>1378</v>
      </c>
      <c r="J210" s="30">
        <f>I210/15</f>
        <v>91.86666666666666</v>
      </c>
      <c r="K210" s="34">
        <f>(J210*4)-L210</f>
        <v>-0.53333333333335986</v>
      </c>
      <c r="L210" s="35">
        <v>368</v>
      </c>
      <c r="M210" s="23">
        <f>(L210/I210)*100</f>
        <v>26.705370101596515</v>
      </c>
      <c r="N210" s="35">
        <v>0</v>
      </c>
      <c r="O210" s="23">
        <f>(N210/I210)*100</f>
        <v>0</v>
      </c>
      <c r="P210" s="35">
        <v>1</v>
      </c>
    </row>
    <row r="211" spans="1:16" ht="19.5" x14ac:dyDescent="0.25">
      <c r="A211" s="9">
        <v>210</v>
      </c>
      <c r="B211" s="9">
        <v>82</v>
      </c>
      <c r="C211" s="13" t="s">
        <v>101</v>
      </c>
      <c r="D211" s="15">
        <v>8890048345</v>
      </c>
      <c r="E211" s="11" t="s">
        <v>5</v>
      </c>
      <c r="F211" s="10">
        <v>3</v>
      </c>
      <c r="G211" s="10" t="s">
        <v>74</v>
      </c>
      <c r="H211" s="9">
        <v>9799638765</v>
      </c>
      <c r="I211" s="28">
        <v>811</v>
      </c>
      <c r="J211" s="30">
        <f>I211/15</f>
        <v>54.06666666666667</v>
      </c>
      <c r="K211" s="34">
        <f>(J211*4)-L211</f>
        <v>-0.73333333333332007</v>
      </c>
      <c r="L211" s="35">
        <v>217</v>
      </c>
      <c r="M211" s="23">
        <f>(L211/I211)*100</f>
        <v>26.757090012330458</v>
      </c>
      <c r="N211" s="35">
        <v>0</v>
      </c>
      <c r="O211" s="23">
        <f>(N211/I211)*100</f>
        <v>0</v>
      </c>
      <c r="P211" s="35">
        <v>1</v>
      </c>
    </row>
    <row r="212" spans="1:16" ht="19.5" x14ac:dyDescent="0.25">
      <c r="A212" s="9">
        <v>211</v>
      </c>
      <c r="B212" s="9">
        <v>21</v>
      </c>
      <c r="C212" s="13" t="s">
        <v>32</v>
      </c>
      <c r="D212" s="15">
        <v>9602505212</v>
      </c>
      <c r="E212" s="11" t="s">
        <v>5</v>
      </c>
      <c r="F212" s="10">
        <v>11</v>
      </c>
      <c r="G212" s="10" t="s">
        <v>24</v>
      </c>
      <c r="H212" s="9">
        <v>9829677202</v>
      </c>
      <c r="I212" s="28">
        <v>958</v>
      </c>
      <c r="J212" s="30">
        <f>I212/15</f>
        <v>63.866666666666667</v>
      </c>
      <c r="K212" s="34">
        <f>(J212*4)-L212</f>
        <v>-1.5333333333333314</v>
      </c>
      <c r="L212" s="35">
        <v>257</v>
      </c>
      <c r="M212" s="23">
        <f>(L212/I212)*100</f>
        <v>26.826722338204593</v>
      </c>
      <c r="N212" s="35">
        <v>0</v>
      </c>
      <c r="O212" s="23">
        <f>(N212/I212)*100</f>
        <v>0</v>
      </c>
      <c r="P212" s="35">
        <v>1</v>
      </c>
    </row>
    <row r="213" spans="1:16" ht="19.5" x14ac:dyDescent="0.25">
      <c r="A213" s="9">
        <v>212</v>
      </c>
      <c r="B213" s="9">
        <v>73</v>
      </c>
      <c r="C213" s="13" t="s">
        <v>92</v>
      </c>
      <c r="D213" s="14">
        <v>8107058891</v>
      </c>
      <c r="E213" s="11" t="s">
        <v>5</v>
      </c>
      <c r="F213" s="10">
        <v>12</v>
      </c>
      <c r="G213" s="10" t="s">
        <v>83</v>
      </c>
      <c r="H213" s="9">
        <v>9001710199</v>
      </c>
      <c r="I213" s="28">
        <v>798</v>
      </c>
      <c r="J213" s="30">
        <f>I213/15</f>
        <v>53.2</v>
      </c>
      <c r="K213" s="34">
        <f>(J213*4)-L213</f>
        <v>-2.1999999999999886</v>
      </c>
      <c r="L213" s="35">
        <v>215</v>
      </c>
      <c r="M213" s="23">
        <f>(L213/I213)*100</f>
        <v>26.942355889724311</v>
      </c>
      <c r="N213" s="35">
        <v>0</v>
      </c>
      <c r="O213" s="23">
        <f>(N213/I213)*100</f>
        <v>0</v>
      </c>
      <c r="P213" s="35">
        <v>1</v>
      </c>
    </row>
    <row r="214" spans="1:16" ht="19.5" x14ac:dyDescent="0.25">
      <c r="A214" s="9">
        <v>213</v>
      </c>
      <c r="B214" s="9">
        <v>23</v>
      </c>
      <c r="C214" s="13" t="s">
        <v>9</v>
      </c>
      <c r="D214" s="15">
        <v>8890192121</v>
      </c>
      <c r="E214" s="11" t="s">
        <v>5</v>
      </c>
      <c r="F214" s="10">
        <v>11</v>
      </c>
      <c r="G214" s="10" t="s">
        <v>24</v>
      </c>
      <c r="H214" s="9">
        <v>9829677202</v>
      </c>
      <c r="I214" s="28">
        <v>1313</v>
      </c>
      <c r="J214" s="30">
        <f>I214/15</f>
        <v>87.533333333333331</v>
      </c>
      <c r="K214" s="34">
        <f>(J214*4)-L214</f>
        <v>-6.8666666666666742</v>
      </c>
      <c r="L214" s="35">
        <v>357</v>
      </c>
      <c r="M214" s="23">
        <f>(L214/I214)*100</f>
        <v>27.189642041127186</v>
      </c>
      <c r="N214" s="35">
        <v>0</v>
      </c>
      <c r="O214" s="23">
        <f>(N214/I214)*100</f>
        <v>0</v>
      </c>
      <c r="P214" s="35">
        <v>1</v>
      </c>
    </row>
    <row r="215" spans="1:16" ht="19.5" x14ac:dyDescent="0.25">
      <c r="A215" s="9">
        <v>214</v>
      </c>
      <c r="B215" s="9">
        <v>58</v>
      </c>
      <c r="C215" s="13" t="s">
        <v>75</v>
      </c>
      <c r="D215" s="14">
        <v>9950630080</v>
      </c>
      <c r="E215" s="11" t="s">
        <v>5</v>
      </c>
      <c r="F215" s="10">
        <v>3</v>
      </c>
      <c r="G215" s="10" t="s">
        <v>74</v>
      </c>
      <c r="H215" s="9">
        <v>9799638765</v>
      </c>
      <c r="I215" s="28">
        <v>1188</v>
      </c>
      <c r="J215" s="30">
        <f>I215/15</f>
        <v>79.2</v>
      </c>
      <c r="K215" s="34">
        <f>(J215*4)-L215</f>
        <v>-7.1999999999999886</v>
      </c>
      <c r="L215" s="35">
        <v>324</v>
      </c>
      <c r="M215" s="23">
        <f>(L215/I215)*100</f>
        <v>27.27272727272727</v>
      </c>
      <c r="N215" s="35">
        <v>0</v>
      </c>
      <c r="O215" s="23">
        <f>(N215/I215)*100</f>
        <v>0</v>
      </c>
      <c r="P215" s="35">
        <v>1</v>
      </c>
    </row>
    <row r="216" spans="1:16" ht="19.5" x14ac:dyDescent="0.25">
      <c r="A216" s="9">
        <v>215</v>
      </c>
      <c r="B216" s="9">
        <v>78</v>
      </c>
      <c r="C216" s="13" t="s">
        <v>97</v>
      </c>
      <c r="D216" s="15">
        <v>8302305060</v>
      </c>
      <c r="E216" s="11" t="s">
        <v>5</v>
      </c>
      <c r="F216" s="10">
        <v>3</v>
      </c>
      <c r="G216" s="10" t="s">
        <v>74</v>
      </c>
      <c r="H216" s="9">
        <v>9799638765</v>
      </c>
      <c r="I216" s="28">
        <v>1210</v>
      </c>
      <c r="J216" s="30">
        <f>I216/15</f>
        <v>80.666666666666671</v>
      </c>
      <c r="K216" s="34">
        <f>(J216*4)-L216</f>
        <v>-7.3333333333333144</v>
      </c>
      <c r="L216" s="35">
        <v>330</v>
      </c>
      <c r="M216" s="23">
        <f>(L216/I216)*100</f>
        <v>27.27272727272727</v>
      </c>
      <c r="N216" s="35">
        <v>0</v>
      </c>
      <c r="O216" s="23">
        <f>(N216/I216)*100</f>
        <v>0</v>
      </c>
      <c r="P216" s="35">
        <v>1</v>
      </c>
    </row>
    <row r="217" spans="1:16" ht="19.5" x14ac:dyDescent="0.25">
      <c r="A217" s="9">
        <v>216</v>
      </c>
      <c r="B217" s="9">
        <v>68</v>
      </c>
      <c r="C217" s="13" t="s">
        <v>87</v>
      </c>
      <c r="D217" s="15">
        <v>9929278134</v>
      </c>
      <c r="E217" s="11" t="s">
        <v>5</v>
      </c>
      <c r="F217" s="10">
        <v>12</v>
      </c>
      <c r="G217" s="10" t="s">
        <v>83</v>
      </c>
      <c r="H217" s="9">
        <v>9001710199</v>
      </c>
      <c r="I217" s="28">
        <v>881</v>
      </c>
      <c r="J217" s="30">
        <f>I217/15</f>
        <v>58.733333333333334</v>
      </c>
      <c r="K217" s="34">
        <f>(J217*4)-L217</f>
        <v>-12.066666666666663</v>
      </c>
      <c r="L217" s="35">
        <v>247</v>
      </c>
      <c r="M217" s="23">
        <f>(L217/I217)*100</f>
        <v>28.036322360953463</v>
      </c>
      <c r="N217" s="35">
        <v>0</v>
      </c>
      <c r="O217" s="23">
        <f>(N217/I217)*100</f>
        <v>0</v>
      </c>
      <c r="P217" s="35">
        <v>0</v>
      </c>
    </row>
    <row r="218" spans="1:16" ht="19.5" x14ac:dyDescent="0.25">
      <c r="A218" s="9">
        <v>217</v>
      </c>
      <c r="B218" s="9">
        <v>185</v>
      </c>
      <c r="C218" s="13" t="s">
        <v>44</v>
      </c>
      <c r="D218" s="15">
        <v>9460885241</v>
      </c>
      <c r="E218" s="11" t="s">
        <v>5</v>
      </c>
      <c r="F218" s="10">
        <v>10</v>
      </c>
      <c r="G218" s="10" t="s">
        <v>89</v>
      </c>
      <c r="H218" s="9">
        <v>9672114420</v>
      </c>
      <c r="I218" s="28">
        <v>989</v>
      </c>
      <c r="J218" s="30">
        <f>I218/15</f>
        <v>65.933333333333337</v>
      </c>
      <c r="K218" s="34">
        <f>(J218*4)-L218</f>
        <v>-36.266666666666652</v>
      </c>
      <c r="L218" s="35">
        <v>300</v>
      </c>
      <c r="M218" s="23">
        <f>(L218/I218)*100</f>
        <v>30.333670374115268</v>
      </c>
      <c r="N218" s="35">
        <v>0</v>
      </c>
      <c r="O218" s="23">
        <f>(N218/I218)*100</f>
        <v>0</v>
      </c>
      <c r="P218" s="35">
        <v>1</v>
      </c>
    </row>
    <row r="219" spans="1:16" ht="19.5" x14ac:dyDescent="0.25">
      <c r="A219" s="9">
        <v>218</v>
      </c>
      <c r="B219" s="9">
        <v>17</v>
      </c>
      <c r="C219" s="13" t="s">
        <v>28</v>
      </c>
      <c r="D219" s="15">
        <v>7742612675</v>
      </c>
      <c r="E219" s="11" t="s">
        <v>5</v>
      </c>
      <c r="F219" s="10">
        <v>2</v>
      </c>
      <c r="G219" s="10" t="s">
        <v>13</v>
      </c>
      <c r="H219" s="9">
        <v>9001958468</v>
      </c>
      <c r="I219" s="28">
        <v>1193</v>
      </c>
      <c r="J219" s="30">
        <f>I219/15</f>
        <v>79.533333333333331</v>
      </c>
      <c r="K219" s="34">
        <f>(J219*4)-L219</f>
        <v>-44.866666666666674</v>
      </c>
      <c r="L219" s="35">
        <v>363</v>
      </c>
      <c r="M219" s="23">
        <f>(L219/I219)*100</f>
        <v>30.427493713327745</v>
      </c>
      <c r="N219" s="35">
        <v>0</v>
      </c>
      <c r="O219" s="23">
        <f>(N219/I219)*100</f>
        <v>0</v>
      </c>
      <c r="P219" s="35">
        <v>1</v>
      </c>
    </row>
    <row r="220" spans="1:16" ht="19.5" x14ac:dyDescent="0.25">
      <c r="A220" s="9">
        <v>219</v>
      </c>
      <c r="B220" s="9">
        <v>61</v>
      </c>
      <c r="C220" s="13" t="s">
        <v>78</v>
      </c>
      <c r="D220" s="15">
        <v>8619604593</v>
      </c>
      <c r="E220" s="11" t="s">
        <v>5</v>
      </c>
      <c r="F220" s="10">
        <v>3</v>
      </c>
      <c r="G220" s="10" t="s">
        <v>74</v>
      </c>
      <c r="H220" s="9">
        <v>9799638765</v>
      </c>
      <c r="I220" s="28">
        <v>811</v>
      </c>
      <c r="J220" s="30">
        <f>I220/15</f>
        <v>54.06666666666667</v>
      </c>
      <c r="K220" s="34">
        <f>(J220*4)-L220</f>
        <v>-33.73333333333332</v>
      </c>
      <c r="L220" s="35">
        <v>250</v>
      </c>
      <c r="M220" s="23">
        <f>(L220/I220)*100</f>
        <v>30.826140567200987</v>
      </c>
      <c r="N220" s="35">
        <v>0</v>
      </c>
      <c r="O220" s="23">
        <f>(N220/I220)*100</f>
        <v>0</v>
      </c>
      <c r="P220" s="35">
        <v>1</v>
      </c>
    </row>
    <row r="221" spans="1:16" ht="19.5" x14ac:dyDescent="0.25">
      <c r="A221" s="9">
        <v>220</v>
      </c>
      <c r="B221" s="9">
        <v>163</v>
      </c>
      <c r="C221" s="13" t="s">
        <v>110</v>
      </c>
      <c r="D221" s="14">
        <v>9636210772</v>
      </c>
      <c r="E221" s="11" t="s">
        <v>5</v>
      </c>
      <c r="F221" s="10">
        <v>9</v>
      </c>
      <c r="G221" s="10" t="s">
        <v>187</v>
      </c>
      <c r="H221" s="9">
        <v>9001283247</v>
      </c>
      <c r="I221" s="28">
        <v>777</v>
      </c>
      <c r="J221" s="30">
        <f>I221/15</f>
        <v>51.8</v>
      </c>
      <c r="K221" s="34">
        <f>(J221*4)-L221</f>
        <v>-35.800000000000011</v>
      </c>
      <c r="L221" s="35">
        <v>243</v>
      </c>
      <c r="M221" s="23">
        <f>(L221/I221)*100</f>
        <v>31.274131274131271</v>
      </c>
      <c r="N221" s="35">
        <v>0</v>
      </c>
      <c r="O221" s="23">
        <f>(N221/I221)*100</f>
        <v>0</v>
      </c>
      <c r="P221" s="35">
        <v>1</v>
      </c>
    </row>
    <row r="222" spans="1:16" ht="19.5" x14ac:dyDescent="0.25">
      <c r="A222" s="9">
        <v>221</v>
      </c>
      <c r="B222" s="9">
        <v>183</v>
      </c>
      <c r="C222" s="13" t="s">
        <v>207</v>
      </c>
      <c r="D222" s="14">
        <v>8890958461</v>
      </c>
      <c r="E222" s="11" t="s">
        <v>5</v>
      </c>
      <c r="F222" s="10">
        <v>10</v>
      </c>
      <c r="G222" s="10" t="s">
        <v>89</v>
      </c>
      <c r="H222" s="9">
        <v>9672114420</v>
      </c>
      <c r="I222" s="28">
        <v>717</v>
      </c>
      <c r="J222" s="30">
        <f>I222/15</f>
        <v>47.8</v>
      </c>
      <c r="K222" s="34">
        <f>(J222*4)-L222</f>
        <v>-33.800000000000011</v>
      </c>
      <c r="L222" s="35">
        <v>225</v>
      </c>
      <c r="M222" s="23">
        <f>(L222/I222)*100</f>
        <v>31.380753138075313</v>
      </c>
      <c r="N222" s="35">
        <v>0</v>
      </c>
      <c r="O222" s="23">
        <f>(N222/I222)*100</f>
        <v>0</v>
      </c>
      <c r="P222" s="35">
        <v>1</v>
      </c>
    </row>
    <row r="223" spans="1:16" ht="19.5" x14ac:dyDescent="0.25">
      <c r="A223" s="9">
        <v>222</v>
      </c>
      <c r="B223" s="9">
        <v>10</v>
      </c>
      <c r="C223" s="13" t="s">
        <v>17</v>
      </c>
      <c r="D223" s="15">
        <v>9950677188</v>
      </c>
      <c r="E223" s="11" t="s">
        <v>5</v>
      </c>
      <c r="F223" s="10">
        <v>1</v>
      </c>
      <c r="G223" s="10" t="s">
        <v>7</v>
      </c>
      <c r="H223" s="9">
        <v>9460846968</v>
      </c>
      <c r="I223" s="28">
        <v>917</v>
      </c>
      <c r="J223" s="30">
        <f>I223/15</f>
        <v>61.133333333333333</v>
      </c>
      <c r="K223" s="34">
        <f>(J223*4)-L223</f>
        <v>-55.466666666666669</v>
      </c>
      <c r="L223" s="35">
        <v>300</v>
      </c>
      <c r="M223" s="23">
        <f>(L223/I223)*100</f>
        <v>32.715376226826606</v>
      </c>
      <c r="N223" s="35">
        <v>0</v>
      </c>
      <c r="O223" s="23">
        <f>(N223/I223)*100</f>
        <v>0</v>
      </c>
      <c r="P223" s="35">
        <v>1</v>
      </c>
    </row>
    <row r="224" spans="1:16" ht="19.5" x14ac:dyDescent="0.25">
      <c r="A224" s="9">
        <v>223</v>
      </c>
      <c r="B224" s="9">
        <v>13</v>
      </c>
      <c r="C224" s="13" t="s">
        <v>22</v>
      </c>
      <c r="D224" s="14">
        <v>9413094484</v>
      </c>
      <c r="E224" s="11" t="s">
        <v>5</v>
      </c>
      <c r="F224" s="10">
        <v>2</v>
      </c>
      <c r="G224" s="10" t="s">
        <v>13</v>
      </c>
      <c r="H224" s="9">
        <v>9001958468</v>
      </c>
      <c r="I224" s="28">
        <v>266</v>
      </c>
      <c r="J224" s="30">
        <f>I224/15</f>
        <v>17.733333333333334</v>
      </c>
      <c r="K224" s="34">
        <f>(J224*4)-L224</f>
        <v>-23.066666666666663</v>
      </c>
      <c r="L224" s="35">
        <v>94</v>
      </c>
      <c r="M224" s="23">
        <f>(L224/I224)*100</f>
        <v>35.338345864661655</v>
      </c>
      <c r="N224" s="35">
        <v>0</v>
      </c>
      <c r="O224" s="23">
        <f>(N224/I224)*100</f>
        <v>0</v>
      </c>
      <c r="P224" s="35">
        <v>1</v>
      </c>
    </row>
    <row r="225" spans="1:16" ht="19.5" x14ac:dyDescent="0.25">
      <c r="A225" s="9">
        <v>224</v>
      </c>
      <c r="B225" s="9">
        <v>70</v>
      </c>
      <c r="C225" s="13" t="s">
        <v>90</v>
      </c>
      <c r="D225" s="14">
        <v>6377032443</v>
      </c>
      <c r="E225" s="11" t="s">
        <v>5</v>
      </c>
      <c r="F225" s="10">
        <v>10</v>
      </c>
      <c r="G225" s="10" t="s">
        <v>89</v>
      </c>
      <c r="H225" s="9">
        <v>9672114420</v>
      </c>
      <c r="I225" s="28">
        <v>744</v>
      </c>
      <c r="J225" s="30">
        <f>I225/15</f>
        <v>49.6</v>
      </c>
      <c r="K225" s="34">
        <f>(J225*4)-L225</f>
        <v>-73.599999999999994</v>
      </c>
      <c r="L225" s="35">
        <v>272</v>
      </c>
      <c r="M225" s="23">
        <f>(L225/I225)*100</f>
        <v>36.55913978494624</v>
      </c>
      <c r="N225" s="35">
        <v>0</v>
      </c>
      <c r="O225" s="23">
        <f>(N225/I225)*100</f>
        <v>0</v>
      </c>
      <c r="P225" s="35">
        <v>1</v>
      </c>
    </row>
    <row r="226" spans="1:16" ht="19.5" x14ac:dyDescent="0.25">
      <c r="A226" s="9">
        <v>225</v>
      </c>
      <c r="B226" s="9">
        <v>2</v>
      </c>
      <c r="C226" s="13" t="s">
        <v>8</v>
      </c>
      <c r="D226" s="14">
        <v>9116965727</v>
      </c>
      <c r="E226" s="11" t="s">
        <v>5</v>
      </c>
      <c r="F226" s="10">
        <v>1</v>
      </c>
      <c r="G226" s="10" t="s">
        <v>7</v>
      </c>
      <c r="H226" s="9">
        <v>9460846968</v>
      </c>
      <c r="I226" s="28">
        <v>742</v>
      </c>
      <c r="J226" s="30">
        <f>I226/15</f>
        <v>49.466666666666669</v>
      </c>
      <c r="K226" s="34">
        <f>(J226*4)-L226</f>
        <v>-76.133333333333326</v>
      </c>
      <c r="L226" s="35">
        <v>274</v>
      </c>
      <c r="M226" s="23">
        <f>(L226/I226)*100</f>
        <v>36.927223719676547</v>
      </c>
      <c r="N226" s="35">
        <v>0</v>
      </c>
      <c r="O226" s="23">
        <f>(N226/I226)*100</f>
        <v>0</v>
      </c>
      <c r="P226" s="35">
        <v>1</v>
      </c>
    </row>
    <row r="227" spans="1:16" ht="19.5" x14ac:dyDescent="0.25">
      <c r="A227" s="9">
        <v>226</v>
      </c>
      <c r="B227" s="9">
        <v>5</v>
      </c>
      <c r="C227" s="13" t="s">
        <v>11</v>
      </c>
      <c r="D227" s="14">
        <v>9636562988</v>
      </c>
      <c r="E227" s="11" t="s">
        <v>5</v>
      </c>
      <c r="F227" s="10">
        <v>1</v>
      </c>
      <c r="G227" s="10" t="s">
        <v>7</v>
      </c>
      <c r="H227" s="9">
        <v>9460846968</v>
      </c>
      <c r="I227" s="28">
        <v>636</v>
      </c>
      <c r="J227" s="30">
        <f>I227/15</f>
        <v>42.4</v>
      </c>
      <c r="K227" s="34">
        <f>(J227*4)-L227</f>
        <v>-71.400000000000006</v>
      </c>
      <c r="L227" s="35">
        <v>241</v>
      </c>
      <c r="M227" s="23">
        <f>(L227/I227)*100</f>
        <v>37.893081761006293</v>
      </c>
      <c r="N227" s="35">
        <v>0</v>
      </c>
      <c r="O227" s="23">
        <f>(N227/I227)*100</f>
        <v>0</v>
      </c>
      <c r="P227" s="35">
        <v>1</v>
      </c>
    </row>
    <row r="228" spans="1:16" ht="19.5" x14ac:dyDescent="0.25">
      <c r="A228" s="9">
        <v>227</v>
      </c>
      <c r="B228" s="9">
        <v>66</v>
      </c>
      <c r="C228" s="13" t="s">
        <v>85</v>
      </c>
      <c r="D228" s="14">
        <v>9928472163</v>
      </c>
      <c r="E228" s="11" t="s">
        <v>5</v>
      </c>
      <c r="F228" s="10">
        <v>12</v>
      </c>
      <c r="G228" s="10" t="s">
        <v>83</v>
      </c>
      <c r="H228" s="9">
        <v>9001710199</v>
      </c>
      <c r="I228" s="28">
        <v>699</v>
      </c>
      <c r="J228" s="30">
        <f>I228/15</f>
        <v>46.6</v>
      </c>
      <c r="K228" s="34">
        <f>(J228*4)-L228</f>
        <v>-81.599999999999994</v>
      </c>
      <c r="L228" s="35">
        <v>268</v>
      </c>
      <c r="M228" s="23">
        <f>(L228/I228)*100</f>
        <v>38.340486409155936</v>
      </c>
      <c r="N228" s="35">
        <v>0</v>
      </c>
      <c r="O228" s="23">
        <f>(N228/I228)*100</f>
        <v>0</v>
      </c>
      <c r="P228" s="35">
        <v>1</v>
      </c>
    </row>
    <row r="229" spans="1:16" ht="19.5" x14ac:dyDescent="0.25">
      <c r="A229" s="9">
        <v>228</v>
      </c>
      <c r="B229" s="9">
        <v>181</v>
      </c>
      <c r="C229" s="13" t="s">
        <v>205</v>
      </c>
      <c r="D229" s="15">
        <v>9829826885</v>
      </c>
      <c r="E229" s="11" t="s">
        <v>5</v>
      </c>
      <c r="F229" s="10">
        <v>10</v>
      </c>
      <c r="G229" s="10" t="s">
        <v>89</v>
      </c>
      <c r="H229" s="9">
        <v>9672114420</v>
      </c>
      <c r="I229" s="28">
        <v>1185</v>
      </c>
      <c r="J229" s="30">
        <f>I229/15</f>
        <v>79</v>
      </c>
      <c r="K229" s="34">
        <f>(J229*4)-L229</f>
        <v>-148</v>
      </c>
      <c r="L229" s="35">
        <v>464</v>
      </c>
      <c r="M229" s="23">
        <f>(L229/I229)*100</f>
        <v>39.156118143459921</v>
      </c>
      <c r="N229" s="35">
        <v>0</v>
      </c>
      <c r="O229" s="23">
        <f>(N229/I229)*100</f>
        <v>0</v>
      </c>
      <c r="P229" s="35">
        <v>1</v>
      </c>
    </row>
    <row r="230" spans="1:16" ht="19.5" x14ac:dyDescent="0.25">
      <c r="A230" s="9">
        <v>229</v>
      </c>
      <c r="B230" s="9">
        <v>12</v>
      </c>
      <c r="C230" s="13" t="s">
        <v>21</v>
      </c>
      <c r="D230" s="15">
        <v>9799804910</v>
      </c>
      <c r="E230" s="11" t="s">
        <v>5</v>
      </c>
      <c r="F230" s="10">
        <v>1</v>
      </c>
      <c r="G230" s="10" t="s">
        <v>7</v>
      </c>
      <c r="H230" s="9">
        <v>9460846968</v>
      </c>
      <c r="I230" s="28">
        <v>1260</v>
      </c>
      <c r="J230" s="30">
        <f>I230/15</f>
        <v>84</v>
      </c>
      <c r="K230" s="34">
        <f>(J230*4)-L230</f>
        <v>-164</v>
      </c>
      <c r="L230" s="35">
        <v>500</v>
      </c>
      <c r="M230" s="23">
        <f>(L230/I230)*100</f>
        <v>39.682539682539684</v>
      </c>
      <c r="N230" s="35">
        <v>0</v>
      </c>
      <c r="O230" s="23">
        <f>(N230/I230)*100</f>
        <v>0</v>
      </c>
      <c r="P230" s="35">
        <v>1</v>
      </c>
    </row>
    <row r="231" spans="1:16" ht="39" x14ac:dyDescent="0.25">
      <c r="A231" s="9">
        <v>230</v>
      </c>
      <c r="B231" s="9">
        <v>16</v>
      </c>
      <c r="C231" s="13" t="s">
        <v>26</v>
      </c>
      <c r="D231" s="15" t="s">
        <v>29</v>
      </c>
      <c r="E231" s="11" t="s">
        <v>5</v>
      </c>
      <c r="F231" s="10">
        <v>2</v>
      </c>
      <c r="G231" s="10" t="s">
        <v>13</v>
      </c>
      <c r="H231" s="9">
        <v>9001958468</v>
      </c>
      <c r="I231" s="28">
        <v>562</v>
      </c>
      <c r="J231" s="30">
        <f>I231/15</f>
        <v>37.466666666666669</v>
      </c>
      <c r="K231" s="34">
        <f>(J231*4)-L231</f>
        <v>-77.133333333333326</v>
      </c>
      <c r="L231" s="35">
        <v>227</v>
      </c>
      <c r="M231" s="23">
        <f>(L231/I231)*100</f>
        <v>40.391459074733092</v>
      </c>
      <c r="N231" s="35">
        <v>0</v>
      </c>
      <c r="O231" s="23">
        <f>(N231/I231)*100</f>
        <v>0</v>
      </c>
      <c r="P231" s="35">
        <v>1</v>
      </c>
    </row>
    <row r="232" spans="1:16" ht="19.5" x14ac:dyDescent="0.25">
      <c r="A232" s="9">
        <v>231</v>
      </c>
      <c r="B232" s="9">
        <v>4</v>
      </c>
      <c r="C232" s="13" t="s">
        <v>10</v>
      </c>
      <c r="D232" s="14">
        <v>8824575369</v>
      </c>
      <c r="E232" s="11" t="s">
        <v>5</v>
      </c>
      <c r="F232" s="10">
        <v>1</v>
      </c>
      <c r="G232" s="10" t="s">
        <v>7</v>
      </c>
      <c r="H232" s="9">
        <v>9460846968</v>
      </c>
      <c r="I232" s="28">
        <v>608</v>
      </c>
      <c r="J232" s="30">
        <f>I232/15</f>
        <v>40.533333333333331</v>
      </c>
      <c r="K232" s="34">
        <f>(J232*4)-L232</f>
        <v>-108.86666666666667</v>
      </c>
      <c r="L232" s="35">
        <v>271</v>
      </c>
      <c r="M232" s="23">
        <f>(L232/I232)*100</f>
        <v>44.57236842105263</v>
      </c>
      <c r="N232" s="35">
        <v>0</v>
      </c>
      <c r="O232" s="23">
        <f>(N232/I232)*100</f>
        <v>0</v>
      </c>
      <c r="P232" s="35">
        <v>1</v>
      </c>
    </row>
    <row r="233" spans="1:16" ht="19.5" x14ac:dyDescent="0.25">
      <c r="A233" s="9">
        <v>232</v>
      </c>
      <c r="B233" s="9">
        <v>69</v>
      </c>
      <c r="C233" s="13" t="s">
        <v>88</v>
      </c>
      <c r="D233" s="15">
        <v>9587009854</v>
      </c>
      <c r="E233" s="11" t="s">
        <v>5</v>
      </c>
      <c r="F233" s="10">
        <v>10</v>
      </c>
      <c r="G233" s="10" t="s">
        <v>89</v>
      </c>
      <c r="H233" s="9">
        <v>9672114420</v>
      </c>
      <c r="I233" s="28">
        <v>837</v>
      </c>
      <c r="J233" s="30">
        <f>I233/15</f>
        <v>55.8</v>
      </c>
      <c r="K233" s="34">
        <f>(J233*4)-L233</f>
        <v>-168.8</v>
      </c>
      <c r="L233" s="35">
        <v>392</v>
      </c>
      <c r="M233" s="23">
        <f>(L233/I233)*100</f>
        <v>46.833930704898449</v>
      </c>
      <c r="N233" s="35">
        <v>0</v>
      </c>
      <c r="O233" s="23">
        <f>(N233/I233)*100</f>
        <v>0</v>
      </c>
      <c r="P233" s="35">
        <v>1</v>
      </c>
    </row>
    <row r="234" spans="1:16" ht="19.5" x14ac:dyDescent="0.25">
      <c r="A234" s="9">
        <v>233</v>
      </c>
      <c r="B234" s="9">
        <v>65</v>
      </c>
      <c r="C234" s="13" t="s">
        <v>84</v>
      </c>
      <c r="D234" s="14">
        <v>9950239964</v>
      </c>
      <c r="E234" s="11" t="s">
        <v>5</v>
      </c>
      <c r="F234" s="10">
        <v>12</v>
      </c>
      <c r="G234" s="10" t="s">
        <v>83</v>
      </c>
      <c r="H234" s="9">
        <v>9001710199</v>
      </c>
      <c r="I234" s="28">
        <v>968</v>
      </c>
      <c r="J234" s="30">
        <f>I234/15</f>
        <v>64.533333333333331</v>
      </c>
      <c r="K234" s="34">
        <f>(J234*4)-L234</f>
        <v>-201.86666666666667</v>
      </c>
      <c r="L234" s="35">
        <v>460</v>
      </c>
      <c r="M234" s="23">
        <f>(L234/I234)*100</f>
        <v>47.520661157024797</v>
      </c>
      <c r="N234" s="35">
        <v>0</v>
      </c>
      <c r="O234" s="23">
        <f>(N234/I234)*100</f>
        <v>0</v>
      </c>
      <c r="P234" s="35">
        <v>1</v>
      </c>
    </row>
    <row r="235" spans="1:16" ht="19.5" x14ac:dyDescent="0.25">
      <c r="A235" s="9">
        <v>234</v>
      </c>
      <c r="B235" s="9">
        <v>80</v>
      </c>
      <c r="C235" s="13" t="s">
        <v>99</v>
      </c>
      <c r="D235" s="15">
        <v>9784784883</v>
      </c>
      <c r="E235" s="11" t="s">
        <v>5</v>
      </c>
      <c r="F235" s="10">
        <v>3</v>
      </c>
      <c r="G235" s="10" t="s">
        <v>74</v>
      </c>
      <c r="H235" s="9">
        <v>9799638765</v>
      </c>
      <c r="I235" s="28">
        <v>1089</v>
      </c>
      <c r="J235" s="30">
        <f>I235/15</f>
        <v>72.599999999999994</v>
      </c>
      <c r="K235" s="34">
        <f>(J235*4)-L235</f>
        <v>-255.60000000000002</v>
      </c>
      <c r="L235" s="35">
        <v>546</v>
      </c>
      <c r="M235" s="23">
        <f>(L235/I235)*100</f>
        <v>50.137741046831948</v>
      </c>
      <c r="N235" s="35">
        <v>0</v>
      </c>
      <c r="O235" s="23">
        <f>(N235/I235)*100</f>
        <v>0</v>
      </c>
      <c r="P235" s="35">
        <v>0</v>
      </c>
    </row>
    <row r="236" spans="1:16" ht="19.5" x14ac:dyDescent="0.25">
      <c r="A236" s="9">
        <v>235</v>
      </c>
      <c r="B236" s="9">
        <v>67</v>
      </c>
      <c r="C236" s="13" t="s">
        <v>86</v>
      </c>
      <c r="D236" s="15">
        <v>6375872988</v>
      </c>
      <c r="E236" s="11" t="s">
        <v>5</v>
      </c>
      <c r="F236" s="10">
        <v>12</v>
      </c>
      <c r="G236" s="10" t="s">
        <v>83</v>
      </c>
      <c r="H236" s="9">
        <v>9001710199</v>
      </c>
      <c r="I236" s="28">
        <v>456</v>
      </c>
      <c r="J236" s="30">
        <f>I236/15</f>
        <v>30.4</v>
      </c>
      <c r="K236" s="34">
        <f>(J236*4)-L236</f>
        <v>-107.4</v>
      </c>
      <c r="L236" s="35">
        <v>229</v>
      </c>
      <c r="M236" s="23">
        <f>(L236/I236)*100</f>
        <v>50.219298245614027</v>
      </c>
      <c r="N236" s="35">
        <v>0</v>
      </c>
      <c r="O236" s="23">
        <f>(N236/I236)*100</f>
        <v>0</v>
      </c>
      <c r="P236" s="35">
        <v>1</v>
      </c>
    </row>
    <row r="237" spans="1:16" ht="19.5" x14ac:dyDescent="0.25">
      <c r="A237" s="9">
        <v>236</v>
      </c>
      <c r="B237" s="9">
        <v>184</v>
      </c>
      <c r="C237" s="13" t="s">
        <v>208</v>
      </c>
      <c r="D237" s="14">
        <v>6375566396</v>
      </c>
      <c r="E237" s="11" t="s">
        <v>5</v>
      </c>
      <c r="F237" s="10">
        <v>10</v>
      </c>
      <c r="G237" s="10" t="s">
        <v>89</v>
      </c>
      <c r="H237" s="9">
        <v>9672114420</v>
      </c>
      <c r="I237" s="28">
        <v>783</v>
      </c>
      <c r="J237" s="30">
        <f>I237/15</f>
        <v>52.2</v>
      </c>
      <c r="K237" s="34">
        <f>(J237*4)-L237</f>
        <v>-196.2</v>
      </c>
      <c r="L237" s="35">
        <v>405</v>
      </c>
      <c r="M237" s="23">
        <f>(L237/I237)*100</f>
        <v>51.724137931034484</v>
      </c>
      <c r="N237" s="35">
        <v>0</v>
      </c>
      <c r="O237" s="23">
        <f>(N237/I237)*100</f>
        <v>0</v>
      </c>
      <c r="P237" s="35">
        <v>1</v>
      </c>
    </row>
    <row r="238" spans="1:16" ht="19.5" x14ac:dyDescent="0.25">
      <c r="A238" s="9">
        <v>237</v>
      </c>
      <c r="B238" s="9">
        <v>180</v>
      </c>
      <c r="C238" s="13" t="s">
        <v>204</v>
      </c>
      <c r="D238" s="14">
        <v>9602584663</v>
      </c>
      <c r="E238" s="11" t="s">
        <v>5</v>
      </c>
      <c r="F238" s="10">
        <v>10</v>
      </c>
      <c r="G238" s="10" t="s">
        <v>89</v>
      </c>
      <c r="H238" s="9">
        <v>9672114420</v>
      </c>
      <c r="I238" s="28">
        <v>731</v>
      </c>
      <c r="J238" s="30">
        <f>I238/15</f>
        <v>48.733333333333334</v>
      </c>
      <c r="K238" s="34">
        <f>(J238*4)-L238</f>
        <v>-219.06666666666666</v>
      </c>
      <c r="L238" s="35">
        <v>414</v>
      </c>
      <c r="M238" s="23">
        <f>(L238/I238)*100</f>
        <v>56.634746922024625</v>
      </c>
      <c r="N238" s="35">
        <v>0</v>
      </c>
      <c r="O238" s="23">
        <f>(N238/I238)*100</f>
        <v>0</v>
      </c>
      <c r="P238" s="35">
        <v>1</v>
      </c>
    </row>
    <row r="239" spans="1:16" ht="19.5" x14ac:dyDescent="0.25">
      <c r="A239" s="9">
        <v>238</v>
      </c>
      <c r="B239" s="9">
        <v>182</v>
      </c>
      <c r="C239" s="13" t="s">
        <v>206</v>
      </c>
      <c r="D239" s="14">
        <v>8003182052</v>
      </c>
      <c r="E239" s="11" t="s">
        <v>5</v>
      </c>
      <c r="F239" s="10">
        <v>10</v>
      </c>
      <c r="G239" s="10" t="s">
        <v>89</v>
      </c>
      <c r="H239" s="9">
        <v>9672114420</v>
      </c>
      <c r="I239" s="28">
        <v>736</v>
      </c>
      <c r="J239" s="30">
        <f>I239/15</f>
        <v>49.06666666666667</v>
      </c>
      <c r="K239" s="34">
        <f>(J239*4)-L239</f>
        <v>-398.73333333333335</v>
      </c>
      <c r="L239" s="35">
        <v>595</v>
      </c>
      <c r="M239" s="23">
        <f>(L239/I239)*100</f>
        <v>80.842391304347828</v>
      </c>
      <c r="N239" s="35">
        <v>0</v>
      </c>
      <c r="O239" s="23">
        <f>(N239/I239)*100</f>
        <v>0</v>
      </c>
      <c r="P239" s="35">
        <v>1</v>
      </c>
    </row>
    <row r="240" spans="1:16" ht="19.5" x14ac:dyDescent="0.25">
      <c r="A240" s="9">
        <v>239</v>
      </c>
      <c r="B240" s="9">
        <v>287</v>
      </c>
      <c r="C240" s="13" t="s">
        <v>312</v>
      </c>
      <c r="D240" s="14">
        <v>9772168821</v>
      </c>
      <c r="E240" s="11" t="s">
        <v>163</v>
      </c>
      <c r="F240" s="10">
        <v>26</v>
      </c>
      <c r="G240" s="10" t="s">
        <v>284</v>
      </c>
      <c r="H240" s="9">
        <v>9829440338</v>
      </c>
      <c r="I240" s="28">
        <v>1351</v>
      </c>
      <c r="J240" s="30">
        <f>I240/15</f>
        <v>90.066666666666663</v>
      </c>
      <c r="K240" s="34">
        <f>(J240*4)-L240</f>
        <v>163.26666666666665</v>
      </c>
      <c r="L240" s="35">
        <v>197</v>
      </c>
      <c r="M240" s="23">
        <f>(L240/I240)*100</f>
        <v>14.581791265729088</v>
      </c>
      <c r="N240" s="35">
        <v>0</v>
      </c>
      <c r="O240" s="23">
        <f>(N240/I240)*100</f>
        <v>0</v>
      </c>
      <c r="P240" s="35">
        <v>1</v>
      </c>
    </row>
    <row r="241" spans="1:16" ht="19.5" x14ac:dyDescent="0.25">
      <c r="A241" s="9">
        <v>240</v>
      </c>
      <c r="B241" s="9">
        <v>213</v>
      </c>
      <c r="C241" s="13" t="s">
        <v>236</v>
      </c>
      <c r="D241" s="14">
        <v>9829306520</v>
      </c>
      <c r="E241" s="11" t="s">
        <v>163</v>
      </c>
      <c r="F241" s="10">
        <v>25</v>
      </c>
      <c r="G241" s="10" t="s">
        <v>173</v>
      </c>
      <c r="H241" s="9">
        <v>9672499806</v>
      </c>
      <c r="I241" s="28">
        <v>1293</v>
      </c>
      <c r="J241" s="30">
        <f>I241/15</f>
        <v>86.2</v>
      </c>
      <c r="K241" s="34">
        <f>(J241*4)-L241</f>
        <v>148.80000000000001</v>
      </c>
      <c r="L241" s="35">
        <v>196</v>
      </c>
      <c r="M241" s="23">
        <f>(L241/I241)*100</f>
        <v>15.158546017014697</v>
      </c>
      <c r="N241" s="35">
        <v>0</v>
      </c>
      <c r="O241" s="23">
        <f>(N241/I241)*100</f>
        <v>0</v>
      </c>
      <c r="P241" s="35">
        <v>1</v>
      </c>
    </row>
    <row r="242" spans="1:16" ht="19.5" x14ac:dyDescent="0.25">
      <c r="A242" s="9">
        <v>241</v>
      </c>
      <c r="B242" s="9">
        <v>153</v>
      </c>
      <c r="C242" s="13" t="s">
        <v>175</v>
      </c>
      <c r="D242" s="14">
        <v>9001847732</v>
      </c>
      <c r="E242" s="11" t="s">
        <v>163</v>
      </c>
      <c r="F242" s="10">
        <v>25</v>
      </c>
      <c r="G242" s="10" t="s">
        <v>173</v>
      </c>
      <c r="H242" s="9">
        <v>9672499806</v>
      </c>
      <c r="I242" s="28">
        <v>1273</v>
      </c>
      <c r="J242" s="30">
        <f>I242/15</f>
        <v>84.86666666666666</v>
      </c>
      <c r="K242" s="34">
        <f>(J242*4)-L242</f>
        <v>138.46666666666664</v>
      </c>
      <c r="L242" s="35">
        <v>201</v>
      </c>
      <c r="M242" s="23">
        <f>(L242/I242)*100</f>
        <v>15.789473684210526</v>
      </c>
      <c r="N242" s="35">
        <v>0</v>
      </c>
      <c r="O242" s="23">
        <f>(N242/I242)*100</f>
        <v>0</v>
      </c>
      <c r="P242" s="35">
        <v>0</v>
      </c>
    </row>
    <row r="243" spans="1:16" ht="19.5" x14ac:dyDescent="0.25">
      <c r="A243" s="9">
        <v>242</v>
      </c>
      <c r="B243" s="9">
        <v>148</v>
      </c>
      <c r="C243" s="13" t="s">
        <v>169</v>
      </c>
      <c r="D243" s="14">
        <v>9784309702</v>
      </c>
      <c r="E243" s="11" t="s">
        <v>163</v>
      </c>
      <c r="F243" s="10">
        <v>28</v>
      </c>
      <c r="G243" s="10" t="s">
        <v>162</v>
      </c>
      <c r="H243" s="9">
        <v>9784785095</v>
      </c>
      <c r="I243" s="28">
        <v>1231</v>
      </c>
      <c r="J243" s="30">
        <f>I243/15</f>
        <v>82.066666666666663</v>
      </c>
      <c r="K243" s="34">
        <f>(J243*4)-L243</f>
        <v>126.26666666666665</v>
      </c>
      <c r="L243" s="35">
        <v>202</v>
      </c>
      <c r="M243" s="23">
        <f>(L243/I243)*100</f>
        <v>16.409423233143787</v>
      </c>
      <c r="N243" s="35">
        <v>0</v>
      </c>
      <c r="O243" s="23">
        <f>(N243/I243)*100</f>
        <v>0</v>
      </c>
      <c r="P243" s="35">
        <v>1</v>
      </c>
    </row>
    <row r="244" spans="1:16" ht="19.5" x14ac:dyDescent="0.25">
      <c r="A244" s="9">
        <v>243</v>
      </c>
      <c r="B244" s="9">
        <v>143</v>
      </c>
      <c r="C244" s="13" t="s">
        <v>164</v>
      </c>
      <c r="D244" s="14">
        <v>8426999191</v>
      </c>
      <c r="E244" s="11" t="s">
        <v>163</v>
      </c>
      <c r="F244" s="10">
        <v>28</v>
      </c>
      <c r="G244" s="10" t="s">
        <v>162</v>
      </c>
      <c r="H244" s="9">
        <v>9784785095</v>
      </c>
      <c r="I244" s="28">
        <v>751</v>
      </c>
      <c r="J244" s="30">
        <f>I244/15</f>
        <v>50.06666666666667</v>
      </c>
      <c r="K244" s="34">
        <f>(J244*4)-L244</f>
        <v>51.26666666666668</v>
      </c>
      <c r="L244" s="35">
        <v>149</v>
      </c>
      <c r="M244" s="23">
        <f>(L244/I244)*100</f>
        <v>19.840213049267643</v>
      </c>
      <c r="N244" s="35">
        <v>0</v>
      </c>
      <c r="O244" s="23">
        <f>(N244/I244)*100</f>
        <v>0</v>
      </c>
      <c r="P244" s="35">
        <v>1</v>
      </c>
    </row>
    <row r="245" spans="1:16" ht="19.5" x14ac:dyDescent="0.25">
      <c r="A245" s="9">
        <v>244</v>
      </c>
      <c r="B245" s="9">
        <v>147</v>
      </c>
      <c r="C245" s="13" t="s">
        <v>168</v>
      </c>
      <c r="D245" s="14">
        <v>9784121174</v>
      </c>
      <c r="E245" s="11" t="s">
        <v>163</v>
      </c>
      <c r="F245" s="10">
        <v>28</v>
      </c>
      <c r="G245" s="10" t="s">
        <v>162</v>
      </c>
      <c r="H245" s="9">
        <v>9784785095</v>
      </c>
      <c r="I245" s="28">
        <v>804</v>
      </c>
      <c r="J245" s="30">
        <f>I245/15</f>
        <v>53.6</v>
      </c>
      <c r="K245" s="34">
        <f>(J245*4)-L245</f>
        <v>53.400000000000006</v>
      </c>
      <c r="L245" s="35">
        <v>161</v>
      </c>
      <c r="M245" s="23">
        <f>(L245/I245)*100</f>
        <v>20.024875621890548</v>
      </c>
      <c r="N245" s="35">
        <v>0</v>
      </c>
      <c r="O245" s="23">
        <f>(N245/I245)*100</f>
        <v>0</v>
      </c>
      <c r="P245" s="35">
        <v>1</v>
      </c>
    </row>
    <row r="246" spans="1:16" ht="19.5" x14ac:dyDescent="0.25">
      <c r="A246" s="9">
        <v>245</v>
      </c>
      <c r="B246" s="9">
        <v>284</v>
      </c>
      <c r="C246" s="13" t="s">
        <v>308</v>
      </c>
      <c r="D246" s="14">
        <v>8058303479</v>
      </c>
      <c r="E246" s="11" t="s">
        <v>163</v>
      </c>
      <c r="F246" s="10">
        <v>26</v>
      </c>
      <c r="G246" s="10" t="s">
        <v>284</v>
      </c>
      <c r="H246" s="9">
        <v>9829440338</v>
      </c>
      <c r="I246" s="28">
        <v>1068</v>
      </c>
      <c r="J246" s="30">
        <f>I246/15</f>
        <v>71.2</v>
      </c>
      <c r="K246" s="34">
        <f>(J246*4)-L246</f>
        <v>64.800000000000011</v>
      </c>
      <c r="L246" s="35">
        <v>220</v>
      </c>
      <c r="M246" s="23">
        <f>(L246/I246)*100</f>
        <v>20.599250936329589</v>
      </c>
      <c r="N246" s="35">
        <v>0</v>
      </c>
      <c r="O246" s="23">
        <f>(N246/I246)*100</f>
        <v>0</v>
      </c>
      <c r="P246" s="35">
        <v>1</v>
      </c>
    </row>
    <row r="247" spans="1:16" ht="19.5" x14ac:dyDescent="0.25">
      <c r="A247" s="9">
        <v>246</v>
      </c>
      <c r="B247" s="9">
        <v>149</v>
      </c>
      <c r="C247" s="13" t="s">
        <v>170</v>
      </c>
      <c r="D247" s="14">
        <v>8000012086</v>
      </c>
      <c r="E247" s="11" t="s">
        <v>163</v>
      </c>
      <c r="F247" s="10">
        <v>28</v>
      </c>
      <c r="G247" s="10" t="s">
        <v>162</v>
      </c>
      <c r="H247" s="9">
        <v>9784785095</v>
      </c>
      <c r="I247" s="28">
        <v>1120</v>
      </c>
      <c r="J247" s="30">
        <f>I247/15</f>
        <v>74.666666666666671</v>
      </c>
      <c r="K247" s="34">
        <f>(J247*4)-L247</f>
        <v>63.666666666666686</v>
      </c>
      <c r="L247" s="35">
        <v>235</v>
      </c>
      <c r="M247" s="23">
        <f>(L247/I247)*100</f>
        <v>20.982142857142858</v>
      </c>
      <c r="N247" s="35">
        <v>0</v>
      </c>
      <c r="O247" s="23">
        <f>(N247/I247)*100</f>
        <v>0</v>
      </c>
      <c r="P247" s="35">
        <v>1</v>
      </c>
    </row>
    <row r="248" spans="1:16" ht="19.5" x14ac:dyDescent="0.25">
      <c r="A248" s="9">
        <v>247</v>
      </c>
      <c r="B248" s="9">
        <v>259</v>
      </c>
      <c r="C248" s="13" t="s">
        <v>154</v>
      </c>
      <c r="D248" s="14">
        <v>8290453383</v>
      </c>
      <c r="E248" s="11" t="s">
        <v>163</v>
      </c>
      <c r="F248" s="10">
        <v>26</v>
      </c>
      <c r="G248" s="10" t="s">
        <v>284</v>
      </c>
      <c r="H248" s="9">
        <v>9829440338</v>
      </c>
      <c r="I248" s="28">
        <v>713</v>
      </c>
      <c r="J248" s="30">
        <f>I248/15</f>
        <v>47.533333333333331</v>
      </c>
      <c r="K248" s="34">
        <f>(J248*4)-L248</f>
        <v>40.133333333333326</v>
      </c>
      <c r="L248" s="35">
        <v>150</v>
      </c>
      <c r="M248" s="23">
        <f>(L248/I248)*100</f>
        <v>21.037868162692845</v>
      </c>
      <c r="N248" s="35">
        <v>0</v>
      </c>
      <c r="O248" s="23">
        <f>(N248/I248)*100</f>
        <v>0</v>
      </c>
      <c r="P248" s="35">
        <v>1</v>
      </c>
    </row>
    <row r="249" spans="1:16" ht="19.5" x14ac:dyDescent="0.25">
      <c r="A249" s="9">
        <v>248</v>
      </c>
      <c r="B249" s="9">
        <v>260</v>
      </c>
      <c r="C249" s="13" t="s">
        <v>285</v>
      </c>
      <c r="D249" s="14">
        <v>9001317740</v>
      </c>
      <c r="E249" s="11" t="s">
        <v>163</v>
      </c>
      <c r="F249" s="10">
        <v>23</v>
      </c>
      <c r="G249" s="10" t="s">
        <v>271</v>
      </c>
      <c r="H249" s="9">
        <v>9982753504</v>
      </c>
      <c r="I249" s="28">
        <v>910</v>
      </c>
      <c r="J249" s="30">
        <f>I249/15</f>
        <v>60.666666666666664</v>
      </c>
      <c r="K249" s="34">
        <f>(J249*4)-L249</f>
        <v>48.666666666666657</v>
      </c>
      <c r="L249" s="35">
        <v>194</v>
      </c>
      <c r="M249" s="23">
        <f>(L249/I249)*100</f>
        <v>21.318681318681318</v>
      </c>
      <c r="N249" s="35">
        <v>0</v>
      </c>
      <c r="O249" s="23">
        <f>(N249/I249)*100</f>
        <v>0</v>
      </c>
      <c r="P249" s="35">
        <v>1</v>
      </c>
    </row>
    <row r="250" spans="1:16" ht="19.5" x14ac:dyDescent="0.25">
      <c r="A250" s="9">
        <v>249</v>
      </c>
      <c r="B250" s="9">
        <v>144</v>
      </c>
      <c r="C250" s="13" t="s">
        <v>165</v>
      </c>
      <c r="D250" s="14">
        <v>9928054632</v>
      </c>
      <c r="E250" s="11" t="s">
        <v>163</v>
      </c>
      <c r="F250" s="10">
        <v>28</v>
      </c>
      <c r="G250" s="10" t="s">
        <v>162</v>
      </c>
      <c r="H250" s="9">
        <v>9784785095</v>
      </c>
      <c r="I250" s="28">
        <v>713</v>
      </c>
      <c r="J250" s="30">
        <f>I250/15</f>
        <v>47.533333333333331</v>
      </c>
      <c r="K250" s="34">
        <f>(J250*4)-L250</f>
        <v>20.133333333333326</v>
      </c>
      <c r="L250" s="35">
        <v>170</v>
      </c>
      <c r="M250" s="23">
        <f>(L250/I250)*100</f>
        <v>23.842917251051894</v>
      </c>
      <c r="N250" s="35">
        <v>0</v>
      </c>
      <c r="O250" s="23">
        <f>(N250/I250)*100</f>
        <v>0</v>
      </c>
      <c r="P250" s="35">
        <v>1</v>
      </c>
    </row>
    <row r="251" spans="1:16" ht="19.5" x14ac:dyDescent="0.25">
      <c r="A251" s="9">
        <v>250</v>
      </c>
      <c r="B251" s="9">
        <v>245</v>
      </c>
      <c r="C251" s="13" t="s">
        <v>272</v>
      </c>
      <c r="D251" s="14">
        <v>9982114869</v>
      </c>
      <c r="E251" s="11" t="s">
        <v>163</v>
      </c>
      <c r="F251" s="10">
        <v>23</v>
      </c>
      <c r="G251" s="10" t="s">
        <v>271</v>
      </c>
      <c r="H251" s="9">
        <v>9982753504</v>
      </c>
      <c r="I251" s="28">
        <v>797</v>
      </c>
      <c r="J251" s="30">
        <f>I251/15</f>
        <v>53.133333333333333</v>
      </c>
      <c r="K251" s="34">
        <f>(J251*4)-L251</f>
        <v>17.533333333333331</v>
      </c>
      <c r="L251" s="35">
        <v>195</v>
      </c>
      <c r="M251" s="23">
        <f>(L251/I251)*100</f>
        <v>24.466750313676286</v>
      </c>
      <c r="N251" s="35">
        <v>0</v>
      </c>
      <c r="O251" s="23">
        <f>(N251/I251)*100</f>
        <v>0</v>
      </c>
      <c r="P251" s="35">
        <v>1</v>
      </c>
    </row>
    <row r="252" spans="1:16" ht="19.5" x14ac:dyDescent="0.25">
      <c r="A252" s="9">
        <v>251</v>
      </c>
      <c r="B252" s="9">
        <v>152</v>
      </c>
      <c r="C252" s="13" t="s">
        <v>174</v>
      </c>
      <c r="D252" s="14">
        <v>7239953811</v>
      </c>
      <c r="E252" s="11" t="s">
        <v>163</v>
      </c>
      <c r="F252" s="10">
        <v>25</v>
      </c>
      <c r="G252" s="10" t="s">
        <v>173</v>
      </c>
      <c r="H252" s="9">
        <v>9672499806</v>
      </c>
      <c r="I252" s="28">
        <v>1072</v>
      </c>
      <c r="J252" s="30">
        <f>I252/15</f>
        <v>71.466666666666669</v>
      </c>
      <c r="K252" s="34">
        <f>(J252*4)-L252</f>
        <v>19.866666666666674</v>
      </c>
      <c r="L252" s="35">
        <v>266</v>
      </c>
      <c r="M252" s="23">
        <f>(L252/I252)*100</f>
        <v>24.813432835820894</v>
      </c>
      <c r="N252" s="35">
        <v>0</v>
      </c>
      <c r="O252" s="23">
        <f>(N252/I252)*100</f>
        <v>0</v>
      </c>
      <c r="P252" s="35">
        <v>0</v>
      </c>
    </row>
    <row r="253" spans="1:16" ht="19.5" x14ac:dyDescent="0.25">
      <c r="A253" s="9">
        <v>252</v>
      </c>
      <c r="B253" s="9">
        <v>212</v>
      </c>
      <c r="C253" s="13" t="s">
        <v>235</v>
      </c>
      <c r="D253" s="14">
        <v>9929159935</v>
      </c>
      <c r="E253" s="11" t="s">
        <v>163</v>
      </c>
      <c r="F253" s="10">
        <v>25</v>
      </c>
      <c r="G253" s="10" t="s">
        <v>173</v>
      </c>
      <c r="H253" s="9">
        <v>9672499806</v>
      </c>
      <c r="I253" s="28">
        <v>1083</v>
      </c>
      <c r="J253" s="30">
        <f>I253/15</f>
        <v>72.2</v>
      </c>
      <c r="K253" s="34">
        <f>(J253*4)-L253</f>
        <v>13.800000000000011</v>
      </c>
      <c r="L253" s="35">
        <v>275</v>
      </c>
      <c r="M253" s="23">
        <f>(L253/I253)*100</f>
        <v>25.392428439519854</v>
      </c>
      <c r="N253" s="35">
        <v>0</v>
      </c>
      <c r="O253" s="23">
        <f>(N253/I253)*100</f>
        <v>0</v>
      </c>
      <c r="P253" s="35">
        <v>1</v>
      </c>
    </row>
    <row r="254" spans="1:16" ht="19.5" x14ac:dyDescent="0.25">
      <c r="A254" s="9">
        <v>253</v>
      </c>
      <c r="B254" s="9">
        <v>255</v>
      </c>
      <c r="C254" s="13" t="s">
        <v>281</v>
      </c>
      <c r="D254" s="14">
        <v>9783742342</v>
      </c>
      <c r="E254" s="11" t="s">
        <v>163</v>
      </c>
      <c r="F254" s="10">
        <v>23</v>
      </c>
      <c r="G254" s="10" t="s">
        <v>271</v>
      </c>
      <c r="H254" s="9">
        <v>9982753504</v>
      </c>
      <c r="I254" s="28">
        <v>1154</v>
      </c>
      <c r="J254" s="30">
        <f>I254/15</f>
        <v>76.933333333333337</v>
      </c>
      <c r="K254" s="34">
        <f>(J254*4)-L254</f>
        <v>10.733333333333348</v>
      </c>
      <c r="L254" s="35">
        <v>297</v>
      </c>
      <c r="M254" s="23">
        <f>(L254/I254)*100</f>
        <v>25.736568457538993</v>
      </c>
      <c r="N254" s="35">
        <v>0</v>
      </c>
      <c r="O254" s="23">
        <f>(N254/I254)*100</f>
        <v>0</v>
      </c>
      <c r="P254" s="35">
        <v>1</v>
      </c>
    </row>
    <row r="255" spans="1:16" ht="19.5" x14ac:dyDescent="0.25">
      <c r="A255" s="9">
        <v>254</v>
      </c>
      <c r="B255" s="9">
        <v>246</v>
      </c>
      <c r="C255" s="13" t="s">
        <v>268</v>
      </c>
      <c r="D255" s="14">
        <v>9610034459</v>
      </c>
      <c r="E255" s="11" t="s">
        <v>163</v>
      </c>
      <c r="F255" s="10">
        <v>23</v>
      </c>
      <c r="G255" s="10" t="s">
        <v>271</v>
      </c>
      <c r="H255" s="9">
        <v>9982753504</v>
      </c>
      <c r="I255" s="28">
        <v>930</v>
      </c>
      <c r="J255" s="30">
        <f>I255/15</f>
        <v>62</v>
      </c>
      <c r="K255" s="34">
        <f>(J255*4)-L255</f>
        <v>-8</v>
      </c>
      <c r="L255" s="35">
        <v>256</v>
      </c>
      <c r="M255" s="23">
        <f>(L255/I255)*100</f>
        <v>27.526881720430108</v>
      </c>
      <c r="N255" s="35">
        <v>0</v>
      </c>
      <c r="O255" s="23">
        <f>(N255/I255)*100</f>
        <v>0</v>
      </c>
      <c r="P255" s="35">
        <v>1</v>
      </c>
    </row>
    <row r="256" spans="1:16" ht="19.5" x14ac:dyDescent="0.25">
      <c r="A256" s="9">
        <v>255</v>
      </c>
      <c r="B256" s="9">
        <v>151</v>
      </c>
      <c r="C256" s="13" t="s">
        <v>172</v>
      </c>
      <c r="D256" s="14">
        <v>9929844799</v>
      </c>
      <c r="E256" s="11" t="s">
        <v>163</v>
      </c>
      <c r="F256" s="10">
        <v>25</v>
      </c>
      <c r="G256" s="10" t="s">
        <v>173</v>
      </c>
      <c r="H256" s="9">
        <v>9672499806</v>
      </c>
      <c r="I256" s="28">
        <v>776</v>
      </c>
      <c r="J256" s="30">
        <f>I256/15</f>
        <v>51.733333333333334</v>
      </c>
      <c r="K256" s="34">
        <f>(J256*4)-L256</f>
        <v>-7.0666666666666629</v>
      </c>
      <c r="L256" s="35">
        <v>214</v>
      </c>
      <c r="M256" s="23">
        <f>(L256/I256)*100</f>
        <v>27.577319587628867</v>
      </c>
      <c r="N256" s="35">
        <v>0</v>
      </c>
      <c r="O256" s="23">
        <f>(N256/I256)*100</f>
        <v>0</v>
      </c>
      <c r="P256" s="35">
        <v>1</v>
      </c>
    </row>
    <row r="257" spans="1:16" ht="39" x14ac:dyDescent="0.25">
      <c r="A257" s="9">
        <v>256</v>
      </c>
      <c r="B257" s="9">
        <v>286</v>
      </c>
      <c r="C257" s="13" t="s">
        <v>310</v>
      </c>
      <c r="D257" s="14" t="s">
        <v>313</v>
      </c>
      <c r="E257" s="11" t="s">
        <v>163</v>
      </c>
      <c r="F257" s="10">
        <v>26</v>
      </c>
      <c r="G257" s="10" t="s">
        <v>284</v>
      </c>
      <c r="H257" s="9">
        <v>9829440338</v>
      </c>
      <c r="I257" s="28">
        <v>937</v>
      </c>
      <c r="J257" s="30">
        <f>I257/15</f>
        <v>62.466666666666669</v>
      </c>
      <c r="K257" s="34">
        <f>(J257*4)-L257</f>
        <v>-10.133333333333326</v>
      </c>
      <c r="L257" s="35">
        <v>260</v>
      </c>
      <c r="M257" s="23">
        <f>(L257/I257)*100</f>
        <v>27.748132337246535</v>
      </c>
      <c r="N257" s="35">
        <v>0</v>
      </c>
      <c r="O257" s="23">
        <f>(N257/I257)*100</f>
        <v>0</v>
      </c>
      <c r="P257" s="35">
        <v>1</v>
      </c>
    </row>
    <row r="258" spans="1:16" ht="19.5" x14ac:dyDescent="0.25">
      <c r="A258" s="9">
        <v>257</v>
      </c>
      <c r="B258" s="9">
        <v>241</v>
      </c>
      <c r="C258" s="13" t="s">
        <v>267</v>
      </c>
      <c r="D258" s="14">
        <v>9784997331</v>
      </c>
      <c r="E258" s="11" t="s">
        <v>163</v>
      </c>
      <c r="F258" s="10">
        <v>22</v>
      </c>
      <c r="G258" s="10" t="s">
        <v>241</v>
      </c>
      <c r="H258" s="9">
        <v>7340099907</v>
      </c>
      <c r="I258" s="28">
        <v>1195</v>
      </c>
      <c r="J258" s="30">
        <f>I258/15</f>
        <v>79.666666666666671</v>
      </c>
      <c r="K258" s="34">
        <f>(J258*4)-L258</f>
        <v>-43.333333333333314</v>
      </c>
      <c r="L258" s="35">
        <v>362</v>
      </c>
      <c r="M258" s="23">
        <f>(L258/I258)*100</f>
        <v>30.2928870292887</v>
      </c>
      <c r="N258" s="35">
        <v>0</v>
      </c>
      <c r="O258" s="23">
        <f>(N258/I258)*100</f>
        <v>0</v>
      </c>
      <c r="P258" s="35">
        <v>1</v>
      </c>
    </row>
    <row r="259" spans="1:16" ht="19.5" x14ac:dyDescent="0.25">
      <c r="A259" s="9">
        <v>258</v>
      </c>
      <c r="B259" s="9">
        <v>215</v>
      </c>
      <c r="C259" s="13" t="s">
        <v>238</v>
      </c>
      <c r="D259" s="14">
        <v>9982108193</v>
      </c>
      <c r="E259" s="11" t="s">
        <v>163</v>
      </c>
      <c r="F259" s="10">
        <v>25</v>
      </c>
      <c r="G259" s="10" t="s">
        <v>173</v>
      </c>
      <c r="H259" s="9">
        <v>9672499806</v>
      </c>
      <c r="I259" s="28">
        <v>973</v>
      </c>
      <c r="J259" s="30">
        <f>I259/15</f>
        <v>64.86666666666666</v>
      </c>
      <c r="K259" s="34">
        <f>(J259*4)-L259</f>
        <v>-38.53333333333336</v>
      </c>
      <c r="L259" s="35">
        <v>298</v>
      </c>
      <c r="M259" s="23">
        <f>(L259/I259)*100</f>
        <v>30.62692702980473</v>
      </c>
      <c r="N259" s="35">
        <v>0</v>
      </c>
      <c r="O259" s="23">
        <f>(N259/I259)*100</f>
        <v>0</v>
      </c>
      <c r="P259" s="35">
        <v>1</v>
      </c>
    </row>
    <row r="260" spans="1:16" ht="19.5" x14ac:dyDescent="0.25">
      <c r="A260" s="9">
        <v>259</v>
      </c>
      <c r="B260" s="9">
        <v>230</v>
      </c>
      <c r="C260" s="13" t="s">
        <v>256</v>
      </c>
      <c r="D260" s="14">
        <v>7665099828</v>
      </c>
      <c r="E260" s="11" t="s">
        <v>163</v>
      </c>
      <c r="F260" s="10">
        <v>22</v>
      </c>
      <c r="G260" s="10" t="s">
        <v>241</v>
      </c>
      <c r="H260" s="9">
        <v>7340099907</v>
      </c>
      <c r="I260" s="28">
        <v>855</v>
      </c>
      <c r="J260" s="30">
        <f>I260/15</f>
        <v>57</v>
      </c>
      <c r="K260" s="34">
        <f>(J260*4)-L260</f>
        <v>-36</v>
      </c>
      <c r="L260" s="35">
        <v>264</v>
      </c>
      <c r="M260" s="23">
        <f>(L260/I260)*100</f>
        <v>30.87719298245614</v>
      </c>
      <c r="N260" s="35">
        <v>0</v>
      </c>
      <c r="O260" s="23">
        <f>(N260/I260)*100</f>
        <v>0</v>
      </c>
      <c r="P260" s="35">
        <v>0</v>
      </c>
    </row>
    <row r="261" spans="1:16" ht="19.5" x14ac:dyDescent="0.25">
      <c r="A261" s="9">
        <v>260</v>
      </c>
      <c r="B261" s="9">
        <v>217</v>
      </c>
      <c r="C261" s="13" t="s">
        <v>240</v>
      </c>
      <c r="D261" s="14">
        <v>9602043920</v>
      </c>
      <c r="E261" s="11" t="s">
        <v>163</v>
      </c>
      <c r="F261" s="10">
        <v>22</v>
      </c>
      <c r="G261" s="10" t="s">
        <v>241</v>
      </c>
      <c r="H261" s="9">
        <v>7340099907</v>
      </c>
      <c r="I261" s="28">
        <v>987</v>
      </c>
      <c r="J261" s="30">
        <f>I261/15</f>
        <v>65.8</v>
      </c>
      <c r="K261" s="34">
        <f>(J261*4)-L261</f>
        <v>-47.800000000000011</v>
      </c>
      <c r="L261" s="35">
        <v>311</v>
      </c>
      <c r="M261" s="23">
        <f>(L261/I261)*100</f>
        <v>31.509625126646402</v>
      </c>
      <c r="N261" s="35">
        <v>0</v>
      </c>
      <c r="O261" s="23">
        <f>(N261/I261)*100</f>
        <v>0</v>
      </c>
      <c r="P261" s="35">
        <v>1</v>
      </c>
    </row>
    <row r="262" spans="1:16" ht="19.5" x14ac:dyDescent="0.25">
      <c r="A262" s="9">
        <v>261</v>
      </c>
      <c r="B262" s="9">
        <v>211</v>
      </c>
      <c r="C262" s="13" t="s">
        <v>234</v>
      </c>
      <c r="D262" s="14">
        <v>7877945283</v>
      </c>
      <c r="E262" s="11" t="s">
        <v>163</v>
      </c>
      <c r="F262" s="10">
        <v>25</v>
      </c>
      <c r="G262" s="10" t="s">
        <v>173</v>
      </c>
      <c r="H262" s="9">
        <v>9672499806</v>
      </c>
      <c r="I262" s="28">
        <v>972</v>
      </c>
      <c r="J262" s="30">
        <f>I262/15</f>
        <v>64.8</v>
      </c>
      <c r="K262" s="34">
        <f>(J262*4)-L262</f>
        <v>-56.800000000000011</v>
      </c>
      <c r="L262" s="35">
        <v>316</v>
      </c>
      <c r="M262" s="23">
        <f>(L262/I262)*100</f>
        <v>32.510288065843625</v>
      </c>
      <c r="N262" s="35">
        <v>0</v>
      </c>
      <c r="O262" s="23">
        <f>(N262/I262)*100</f>
        <v>0</v>
      </c>
      <c r="P262" s="35">
        <v>0</v>
      </c>
    </row>
    <row r="263" spans="1:16" ht="19.5" x14ac:dyDescent="0.25">
      <c r="A263" s="9">
        <v>262</v>
      </c>
      <c r="B263" s="9">
        <v>229</v>
      </c>
      <c r="C263" s="13" t="s">
        <v>255</v>
      </c>
      <c r="D263" s="14">
        <v>9001853586</v>
      </c>
      <c r="E263" s="11" t="s">
        <v>163</v>
      </c>
      <c r="F263" s="10">
        <v>22</v>
      </c>
      <c r="G263" s="10" t="s">
        <v>241</v>
      </c>
      <c r="H263" s="9">
        <v>7340099907</v>
      </c>
      <c r="I263" s="28">
        <v>1231</v>
      </c>
      <c r="J263" s="30">
        <f>I263/15</f>
        <v>82.066666666666663</v>
      </c>
      <c r="K263" s="34">
        <f>(J263*4)-L263</f>
        <v>-82.733333333333348</v>
      </c>
      <c r="L263" s="35">
        <v>411</v>
      </c>
      <c r="M263" s="23">
        <f>(L263/I263)*100</f>
        <v>33.387489845653938</v>
      </c>
      <c r="N263" s="35">
        <v>0</v>
      </c>
      <c r="O263" s="23">
        <f>(N263/I263)*100</f>
        <v>0</v>
      </c>
      <c r="P263" s="35">
        <v>1</v>
      </c>
    </row>
    <row r="264" spans="1:16" ht="19.5" x14ac:dyDescent="0.25">
      <c r="A264" s="9">
        <v>263</v>
      </c>
      <c r="B264" s="9">
        <v>253</v>
      </c>
      <c r="C264" s="16" t="s">
        <v>279</v>
      </c>
      <c r="D264" s="14">
        <v>9928742600</v>
      </c>
      <c r="E264" s="11" t="s">
        <v>163</v>
      </c>
      <c r="F264" s="10">
        <v>23</v>
      </c>
      <c r="G264" s="10" t="s">
        <v>271</v>
      </c>
      <c r="H264" s="9">
        <v>9982753504</v>
      </c>
      <c r="I264" s="28">
        <v>875</v>
      </c>
      <c r="J264" s="30">
        <f>I264/15</f>
        <v>58.333333333333336</v>
      </c>
      <c r="K264" s="34">
        <f>(J264*4)-L264</f>
        <v>-59.666666666666657</v>
      </c>
      <c r="L264" s="35">
        <v>293</v>
      </c>
      <c r="M264" s="23">
        <f>(L264/I264)*100</f>
        <v>33.485714285714288</v>
      </c>
      <c r="N264" s="35">
        <v>0</v>
      </c>
      <c r="O264" s="23">
        <f>(N264/I264)*100</f>
        <v>0</v>
      </c>
      <c r="P264" s="35">
        <v>1</v>
      </c>
    </row>
    <row r="265" spans="1:16" ht="19.5" x14ac:dyDescent="0.25">
      <c r="A265" s="9">
        <v>264</v>
      </c>
      <c r="B265" s="9">
        <v>231</v>
      </c>
      <c r="C265" s="13" t="s">
        <v>151</v>
      </c>
      <c r="D265" s="14">
        <v>8107272405</v>
      </c>
      <c r="E265" s="11" t="s">
        <v>163</v>
      </c>
      <c r="F265" s="10">
        <v>22</v>
      </c>
      <c r="G265" s="10" t="s">
        <v>241</v>
      </c>
      <c r="H265" s="9">
        <v>7340099907</v>
      </c>
      <c r="I265" s="28">
        <v>1145</v>
      </c>
      <c r="J265" s="30">
        <f>I265/15</f>
        <v>76.333333333333329</v>
      </c>
      <c r="K265" s="34">
        <f>(J265*4)-L265</f>
        <v>-80.666666666666686</v>
      </c>
      <c r="L265" s="35">
        <v>386</v>
      </c>
      <c r="M265" s="23">
        <f>(L265/I265)*100</f>
        <v>33.711790393013104</v>
      </c>
      <c r="N265" s="35">
        <v>0</v>
      </c>
      <c r="O265" s="23">
        <f>(N265/I265)*100</f>
        <v>0</v>
      </c>
      <c r="P265" s="35">
        <v>1</v>
      </c>
    </row>
    <row r="266" spans="1:16" ht="39" x14ac:dyDescent="0.25">
      <c r="A266" s="9">
        <v>265</v>
      </c>
      <c r="B266" s="9">
        <v>285</v>
      </c>
      <c r="C266" s="13" t="s">
        <v>309</v>
      </c>
      <c r="D266" s="14" t="s">
        <v>311</v>
      </c>
      <c r="E266" s="11" t="s">
        <v>163</v>
      </c>
      <c r="F266" s="10">
        <v>26</v>
      </c>
      <c r="G266" s="10" t="s">
        <v>284</v>
      </c>
      <c r="H266" s="9">
        <v>9829440338</v>
      </c>
      <c r="I266" s="28">
        <v>1297</v>
      </c>
      <c r="J266" s="30">
        <f>I266/15</f>
        <v>86.466666666666669</v>
      </c>
      <c r="K266" s="34">
        <f>(J266*4)-L266</f>
        <v>-97.133333333333326</v>
      </c>
      <c r="L266" s="35">
        <v>443</v>
      </c>
      <c r="M266" s="23">
        <f>(L266/I266)*100</f>
        <v>34.155744024672316</v>
      </c>
      <c r="N266" s="35">
        <v>0</v>
      </c>
      <c r="O266" s="23">
        <f>(N266/I266)*100</f>
        <v>0</v>
      </c>
      <c r="P266" s="35">
        <v>1</v>
      </c>
    </row>
    <row r="267" spans="1:16" ht="19.5" x14ac:dyDescent="0.25">
      <c r="A267" s="9">
        <v>266</v>
      </c>
      <c r="B267" s="9">
        <v>239</v>
      </c>
      <c r="C267" s="13" t="s">
        <v>265</v>
      </c>
      <c r="D267" s="14">
        <v>9772463483</v>
      </c>
      <c r="E267" s="11" t="s">
        <v>163</v>
      </c>
      <c r="F267" s="10">
        <v>22</v>
      </c>
      <c r="G267" s="10" t="s">
        <v>241</v>
      </c>
      <c r="H267" s="9">
        <v>7340099907</v>
      </c>
      <c r="I267" s="28">
        <v>1240</v>
      </c>
      <c r="J267" s="30">
        <f>I267/15</f>
        <v>82.666666666666671</v>
      </c>
      <c r="K267" s="34">
        <f>(J267*4)-L267</f>
        <v>-110.33333333333331</v>
      </c>
      <c r="L267" s="35">
        <v>441</v>
      </c>
      <c r="M267" s="23">
        <f>(L267/I267)*100</f>
        <v>35.564516129032256</v>
      </c>
      <c r="N267" s="35">
        <v>0</v>
      </c>
      <c r="O267" s="23">
        <f>(N267/I267)*100</f>
        <v>0</v>
      </c>
      <c r="P267" s="35">
        <v>1</v>
      </c>
    </row>
    <row r="268" spans="1:16" ht="19.5" x14ac:dyDescent="0.25">
      <c r="A268" s="9">
        <v>267</v>
      </c>
      <c r="B268" s="9">
        <v>214</v>
      </c>
      <c r="C268" s="13" t="s">
        <v>237</v>
      </c>
      <c r="D268" s="14">
        <v>9929025425</v>
      </c>
      <c r="E268" s="11" t="s">
        <v>163</v>
      </c>
      <c r="F268" s="10">
        <v>25</v>
      </c>
      <c r="G268" s="10" t="s">
        <v>173</v>
      </c>
      <c r="H268" s="9">
        <v>9672499806</v>
      </c>
      <c r="I268" s="28">
        <v>878</v>
      </c>
      <c r="J268" s="30">
        <f>I268/15</f>
        <v>58.533333333333331</v>
      </c>
      <c r="K268" s="34">
        <f>(J268*4)-L268</f>
        <v>-85.866666666666674</v>
      </c>
      <c r="L268" s="35">
        <v>320</v>
      </c>
      <c r="M268" s="23">
        <f>(L268/I268)*100</f>
        <v>36.446469248291571</v>
      </c>
      <c r="N268" s="35">
        <v>0</v>
      </c>
      <c r="O268" s="23">
        <f>(N268/I268)*100</f>
        <v>0</v>
      </c>
      <c r="P268" s="35">
        <v>1</v>
      </c>
    </row>
    <row r="269" spans="1:16" ht="19.5" x14ac:dyDescent="0.25">
      <c r="A269" s="9">
        <v>268</v>
      </c>
      <c r="B269" s="9">
        <v>254</v>
      </c>
      <c r="C269" s="16" t="s">
        <v>280</v>
      </c>
      <c r="D269" s="14">
        <v>9950877441</v>
      </c>
      <c r="E269" s="11" t="s">
        <v>163</v>
      </c>
      <c r="F269" s="10">
        <v>23</v>
      </c>
      <c r="G269" s="10" t="s">
        <v>271</v>
      </c>
      <c r="H269" s="9">
        <v>9982753504</v>
      </c>
      <c r="I269" s="28">
        <v>740</v>
      </c>
      <c r="J269" s="30">
        <f>I269/15</f>
        <v>49.333333333333336</v>
      </c>
      <c r="K269" s="34">
        <f>(J269*4)-L269</f>
        <v>-72.666666666666657</v>
      </c>
      <c r="L269" s="35">
        <v>270</v>
      </c>
      <c r="M269" s="23">
        <f>(L269/I269)*100</f>
        <v>36.486486486486484</v>
      </c>
      <c r="N269" s="35">
        <v>0</v>
      </c>
      <c r="O269" s="23">
        <f>(N269/I269)*100</f>
        <v>0</v>
      </c>
      <c r="P269" s="35">
        <v>1</v>
      </c>
    </row>
    <row r="270" spans="1:16" ht="19.5" x14ac:dyDescent="0.25">
      <c r="A270" s="9">
        <v>269</v>
      </c>
      <c r="B270" s="9">
        <v>150</v>
      </c>
      <c r="C270" s="13" t="s">
        <v>171</v>
      </c>
      <c r="D270" s="14">
        <v>8619607184</v>
      </c>
      <c r="E270" s="11" t="s">
        <v>163</v>
      </c>
      <c r="F270" s="10">
        <v>28</v>
      </c>
      <c r="G270" s="10" t="s">
        <v>162</v>
      </c>
      <c r="H270" s="9">
        <v>9784785095</v>
      </c>
      <c r="I270" s="28">
        <v>529</v>
      </c>
      <c r="J270" s="30">
        <f>I270/15</f>
        <v>35.266666666666666</v>
      </c>
      <c r="K270" s="34">
        <f>(J270*4)-L270</f>
        <v>-60.933333333333337</v>
      </c>
      <c r="L270" s="35">
        <v>202</v>
      </c>
      <c r="M270" s="23">
        <f>(L270/I270)*100</f>
        <v>38.18525519848771</v>
      </c>
      <c r="N270" s="35">
        <v>0</v>
      </c>
      <c r="O270" s="23">
        <f>(N270/I270)*100</f>
        <v>0</v>
      </c>
      <c r="P270" s="35">
        <v>1</v>
      </c>
    </row>
    <row r="271" spans="1:16" ht="19.5" x14ac:dyDescent="0.25">
      <c r="A271" s="9">
        <v>270</v>
      </c>
      <c r="B271" s="9">
        <v>242</v>
      </c>
      <c r="C271" s="13" t="s">
        <v>268</v>
      </c>
      <c r="D271" s="14">
        <v>7665714792</v>
      </c>
      <c r="E271" s="11" t="s">
        <v>163</v>
      </c>
      <c r="F271" s="10">
        <v>22</v>
      </c>
      <c r="G271" s="10" t="s">
        <v>241</v>
      </c>
      <c r="H271" s="9">
        <v>7340099907</v>
      </c>
      <c r="I271" s="28">
        <v>990</v>
      </c>
      <c r="J271" s="30">
        <f>I271/15</f>
        <v>66</v>
      </c>
      <c r="K271" s="34">
        <f>(J271*4)-L271</f>
        <v>-115</v>
      </c>
      <c r="L271" s="35">
        <v>379</v>
      </c>
      <c r="M271" s="23">
        <f>(L271/I271)*100</f>
        <v>38.282828282828284</v>
      </c>
      <c r="N271" s="35">
        <v>0</v>
      </c>
      <c r="O271" s="23">
        <f>(N271/I271)*100</f>
        <v>0</v>
      </c>
      <c r="P271" s="35">
        <v>1</v>
      </c>
    </row>
    <row r="272" spans="1:16" ht="19.5" x14ac:dyDescent="0.25">
      <c r="A272" s="9">
        <v>271</v>
      </c>
      <c r="B272" s="9">
        <v>216</v>
      </c>
      <c r="C272" s="20" t="s">
        <v>239</v>
      </c>
      <c r="D272" s="14">
        <v>9828080546</v>
      </c>
      <c r="E272" s="11" t="s">
        <v>163</v>
      </c>
      <c r="F272" s="10">
        <v>25</v>
      </c>
      <c r="G272" s="10" t="s">
        <v>173</v>
      </c>
      <c r="H272" s="9">
        <v>9672499806</v>
      </c>
      <c r="I272" s="28">
        <v>501</v>
      </c>
      <c r="J272" s="30">
        <f>I272/15</f>
        <v>33.4</v>
      </c>
      <c r="K272" s="34">
        <f>(J272*4)-L272</f>
        <v>-66.400000000000006</v>
      </c>
      <c r="L272" s="35">
        <v>200</v>
      </c>
      <c r="M272" s="23">
        <f>(L272/I272)*100</f>
        <v>39.920159680638726</v>
      </c>
      <c r="N272" s="35">
        <v>0</v>
      </c>
      <c r="O272" s="23">
        <f>(N272/I272)*100</f>
        <v>0</v>
      </c>
      <c r="P272" s="35">
        <v>1</v>
      </c>
    </row>
    <row r="273" spans="1:16" ht="19.5" x14ac:dyDescent="0.25">
      <c r="A273" s="9">
        <v>272</v>
      </c>
      <c r="B273" s="9">
        <v>243</v>
      </c>
      <c r="C273" s="13" t="s">
        <v>269</v>
      </c>
      <c r="D273" s="14">
        <v>9828806128</v>
      </c>
      <c r="E273" s="11" t="s">
        <v>163</v>
      </c>
      <c r="F273" s="10">
        <v>22</v>
      </c>
      <c r="G273" s="10" t="s">
        <v>241</v>
      </c>
      <c r="H273" s="9">
        <v>7340099907</v>
      </c>
      <c r="I273" s="28">
        <v>1049</v>
      </c>
      <c r="J273" s="30">
        <f>I273/15</f>
        <v>69.933333333333337</v>
      </c>
      <c r="K273" s="34">
        <f>(J273*4)-L273</f>
        <v>-142.26666666666665</v>
      </c>
      <c r="L273" s="35">
        <v>422</v>
      </c>
      <c r="M273" s="23">
        <f>(L273/I273)*100</f>
        <v>40.228789323164918</v>
      </c>
      <c r="N273" s="35">
        <v>0</v>
      </c>
      <c r="O273" s="23">
        <f>(N273/I273)*100</f>
        <v>0</v>
      </c>
      <c r="P273" s="35">
        <v>1</v>
      </c>
    </row>
    <row r="274" spans="1:16" ht="19.5" x14ac:dyDescent="0.25">
      <c r="A274" s="9">
        <v>273</v>
      </c>
      <c r="B274" s="9">
        <v>252</v>
      </c>
      <c r="C274" s="13" t="s">
        <v>278</v>
      </c>
      <c r="D274" s="14">
        <v>9828677783</v>
      </c>
      <c r="E274" s="11" t="s">
        <v>163</v>
      </c>
      <c r="F274" s="10">
        <v>23</v>
      </c>
      <c r="G274" s="10" t="s">
        <v>271</v>
      </c>
      <c r="H274" s="9">
        <v>9982753504</v>
      </c>
      <c r="I274" s="28">
        <v>1039</v>
      </c>
      <c r="J274" s="30">
        <f>I274/15</f>
        <v>69.266666666666666</v>
      </c>
      <c r="K274" s="34">
        <f>(J274*4)-L274</f>
        <v>-152.93333333333334</v>
      </c>
      <c r="L274" s="35">
        <v>430</v>
      </c>
      <c r="M274" s="23">
        <f>(L274/I274)*100</f>
        <v>41.385948026948988</v>
      </c>
      <c r="N274" s="35">
        <v>0</v>
      </c>
      <c r="O274" s="23">
        <f>(N274/I274)*100</f>
        <v>0</v>
      </c>
      <c r="P274" s="35">
        <v>1</v>
      </c>
    </row>
    <row r="275" spans="1:16" ht="19.5" x14ac:dyDescent="0.25">
      <c r="A275" s="9">
        <v>274</v>
      </c>
      <c r="B275" s="9">
        <v>244</v>
      </c>
      <c r="C275" s="13" t="s">
        <v>270</v>
      </c>
      <c r="D275" s="9">
        <v>9785426233</v>
      </c>
      <c r="E275" s="11" t="s">
        <v>163</v>
      </c>
      <c r="F275" s="10">
        <v>23</v>
      </c>
      <c r="G275" s="10" t="s">
        <v>271</v>
      </c>
      <c r="H275" s="9">
        <v>9982753504</v>
      </c>
      <c r="I275" s="28">
        <v>862</v>
      </c>
      <c r="J275" s="30">
        <f>I275/15</f>
        <v>57.466666666666669</v>
      </c>
      <c r="K275" s="34">
        <f>(J275*4)-L275</f>
        <v>-152.13333333333333</v>
      </c>
      <c r="L275" s="35">
        <v>382</v>
      </c>
      <c r="M275" s="23">
        <f>(L275/I275)*100</f>
        <v>44.315545243619489</v>
      </c>
      <c r="N275" s="35">
        <v>0</v>
      </c>
      <c r="O275" s="23">
        <f>(N275/I275)*100</f>
        <v>0</v>
      </c>
      <c r="P275" s="35">
        <v>1</v>
      </c>
    </row>
    <row r="276" spans="1:16" ht="19.5" x14ac:dyDescent="0.25">
      <c r="A276" s="9">
        <v>275</v>
      </c>
      <c r="B276" s="9">
        <v>240</v>
      </c>
      <c r="C276" s="13" t="s">
        <v>266</v>
      </c>
      <c r="D276" s="14">
        <v>9783999893</v>
      </c>
      <c r="E276" s="11" t="s">
        <v>163</v>
      </c>
      <c r="F276" s="10">
        <v>22</v>
      </c>
      <c r="G276" s="10" t="s">
        <v>241</v>
      </c>
      <c r="H276" s="9">
        <v>7340099907</v>
      </c>
      <c r="I276" s="28">
        <v>786</v>
      </c>
      <c r="J276" s="30">
        <f>I276/15</f>
        <v>52.4</v>
      </c>
      <c r="K276" s="34">
        <f>(J276*4)-L276</f>
        <v>-219.4</v>
      </c>
      <c r="L276" s="35">
        <v>429</v>
      </c>
      <c r="M276" s="23">
        <f>(L276/I276)*100</f>
        <v>54.580152671755719</v>
      </c>
      <c r="N276" s="35">
        <v>0</v>
      </c>
      <c r="O276" s="23">
        <f>(N276/I276)*100</f>
        <v>0</v>
      </c>
      <c r="P276" s="35">
        <v>1</v>
      </c>
    </row>
    <row r="277" spans="1:16" ht="19.5" x14ac:dyDescent="0.25">
      <c r="A277" s="9">
        <v>276</v>
      </c>
      <c r="B277" s="9">
        <v>218</v>
      </c>
      <c r="C277" s="13" t="s">
        <v>242</v>
      </c>
      <c r="D277" s="14">
        <v>9799387882</v>
      </c>
      <c r="E277" s="11" t="s">
        <v>163</v>
      </c>
      <c r="F277" s="10">
        <v>22</v>
      </c>
      <c r="G277" s="10" t="s">
        <v>241</v>
      </c>
      <c r="H277" s="9">
        <v>7340099907</v>
      </c>
      <c r="I277" s="28">
        <v>727</v>
      </c>
      <c r="J277" s="30">
        <f>I277/15</f>
        <v>48.466666666666669</v>
      </c>
      <c r="K277" s="34">
        <f>(J277*4)-L277</f>
        <v>-239.13333333333333</v>
      </c>
      <c r="L277" s="35">
        <v>433</v>
      </c>
      <c r="M277" s="23">
        <f>(L277/I277)*100</f>
        <v>59.559834938101787</v>
      </c>
      <c r="N277" s="35">
        <v>0</v>
      </c>
      <c r="O277" s="23">
        <f>(N277/I277)*100</f>
        <v>0</v>
      </c>
      <c r="P277" s="35">
        <v>1</v>
      </c>
    </row>
    <row r="278" spans="1:16" ht="19.5" x14ac:dyDescent="0.25">
      <c r="A278" s="9">
        <v>277</v>
      </c>
      <c r="B278" s="9">
        <v>247</v>
      </c>
      <c r="C278" s="13" t="s">
        <v>273</v>
      </c>
      <c r="D278" s="15">
        <v>9784756398</v>
      </c>
      <c r="E278" s="11" t="s">
        <v>163</v>
      </c>
      <c r="F278" s="10">
        <v>23</v>
      </c>
      <c r="G278" s="10" t="s">
        <v>271</v>
      </c>
      <c r="H278" s="9">
        <v>9982753504</v>
      </c>
      <c r="I278" s="28">
        <v>789</v>
      </c>
      <c r="J278" s="30">
        <f>I278/15</f>
        <v>52.6</v>
      </c>
      <c r="K278" s="34">
        <f>(J278*4)-L278</f>
        <v>-259.60000000000002</v>
      </c>
      <c r="L278" s="35">
        <v>470</v>
      </c>
      <c r="M278" s="23">
        <f>(L278/I278)*100</f>
        <v>59.569074778200246</v>
      </c>
      <c r="N278" s="35">
        <v>0</v>
      </c>
      <c r="O278" s="23">
        <f>(N278/I278)*100</f>
        <v>0</v>
      </c>
      <c r="P278" s="35">
        <v>1</v>
      </c>
    </row>
    <row r="279" spans="1:16" ht="19.5" x14ac:dyDescent="0.25">
      <c r="A279" s="9">
        <v>278</v>
      </c>
      <c r="B279" s="9">
        <v>251</v>
      </c>
      <c r="C279" s="13" t="s">
        <v>277</v>
      </c>
      <c r="D279" s="14">
        <v>9828035409</v>
      </c>
      <c r="E279" s="11" t="s">
        <v>163</v>
      </c>
      <c r="F279" s="10">
        <v>23</v>
      </c>
      <c r="G279" s="10" t="s">
        <v>271</v>
      </c>
      <c r="H279" s="9">
        <v>9982753504</v>
      </c>
      <c r="I279" s="28">
        <v>1132</v>
      </c>
      <c r="J279" s="30">
        <f>I279/15</f>
        <v>75.466666666666669</v>
      </c>
      <c r="K279" s="34">
        <f>(J279*4)-L279</f>
        <v>-497.13333333333333</v>
      </c>
      <c r="L279" s="35">
        <v>799</v>
      </c>
      <c r="M279" s="23">
        <f>(L279/I279)*100</f>
        <v>70.583038869257948</v>
      </c>
      <c r="N279" s="35">
        <v>1</v>
      </c>
      <c r="O279" s="23">
        <f>(N279/I279)*100</f>
        <v>8.8339222614840993E-2</v>
      </c>
      <c r="P279" s="35">
        <v>1</v>
      </c>
    </row>
    <row r="280" spans="1:16" ht="19.5" x14ac:dyDescent="0.25">
      <c r="A280" s="9">
        <v>279</v>
      </c>
      <c r="B280" s="9">
        <v>275</v>
      </c>
      <c r="C280" s="13" t="s">
        <v>297</v>
      </c>
      <c r="D280" s="15">
        <v>9829832448</v>
      </c>
      <c r="E280" s="11" t="s">
        <v>223</v>
      </c>
      <c r="F280" s="10">
        <v>18</v>
      </c>
      <c r="G280" s="10" t="s">
        <v>275</v>
      </c>
      <c r="H280" s="9">
        <v>9784421590</v>
      </c>
      <c r="I280" s="28">
        <v>907</v>
      </c>
      <c r="J280" s="30">
        <f>I280/15</f>
        <v>60.466666666666669</v>
      </c>
      <c r="K280" s="34">
        <f>(J280*4)-L280</f>
        <v>42.866666666666674</v>
      </c>
      <c r="L280" s="35">
        <v>199</v>
      </c>
      <c r="M280" s="23">
        <f>(L280/I280)*100</f>
        <v>21.940463065049613</v>
      </c>
      <c r="N280" s="35">
        <v>0</v>
      </c>
      <c r="O280" s="23">
        <f>(N280/I280)*100</f>
        <v>0</v>
      </c>
      <c r="P280" s="35">
        <v>1</v>
      </c>
    </row>
    <row r="281" spans="1:16" ht="19.5" x14ac:dyDescent="0.25">
      <c r="A281" s="9">
        <v>280</v>
      </c>
      <c r="B281" s="9">
        <v>249</v>
      </c>
      <c r="C281" s="13" t="s">
        <v>276</v>
      </c>
      <c r="D281" s="15">
        <v>9928071656</v>
      </c>
      <c r="E281" s="11" t="s">
        <v>223</v>
      </c>
      <c r="F281" s="10">
        <v>18</v>
      </c>
      <c r="G281" s="10" t="s">
        <v>275</v>
      </c>
      <c r="H281" s="9">
        <v>9784421590</v>
      </c>
      <c r="I281" s="28">
        <v>1230</v>
      </c>
      <c r="J281" s="30">
        <f>I281/15</f>
        <v>82</v>
      </c>
      <c r="K281" s="34">
        <f>(J281*4)-L281</f>
        <v>56</v>
      </c>
      <c r="L281" s="35">
        <v>272</v>
      </c>
      <c r="M281" s="23">
        <f>(L281/I281)*100</f>
        <v>22.113821138211382</v>
      </c>
      <c r="N281" s="35">
        <v>0</v>
      </c>
      <c r="O281" s="23">
        <f>(N281/I281)*100</f>
        <v>0</v>
      </c>
      <c r="P281" s="35">
        <v>1</v>
      </c>
    </row>
    <row r="282" spans="1:16" ht="19.5" x14ac:dyDescent="0.25">
      <c r="A282" s="9">
        <v>281</v>
      </c>
      <c r="B282" s="9">
        <v>264</v>
      </c>
      <c r="C282" s="13" t="s">
        <v>289</v>
      </c>
      <c r="D282" s="15">
        <v>9983681730</v>
      </c>
      <c r="E282" s="11" t="s">
        <v>223</v>
      </c>
      <c r="F282" s="10">
        <v>18</v>
      </c>
      <c r="G282" s="10" t="s">
        <v>275</v>
      </c>
      <c r="H282" s="9">
        <v>9784421590</v>
      </c>
      <c r="I282" s="28">
        <v>1287</v>
      </c>
      <c r="J282" s="30">
        <f>I282/15</f>
        <v>85.8</v>
      </c>
      <c r="K282" s="34">
        <f>(J282*4)-L282</f>
        <v>53.199999999999989</v>
      </c>
      <c r="L282" s="35">
        <v>290</v>
      </c>
      <c r="M282" s="23">
        <f>(L282/I282)*100</f>
        <v>22.533022533022535</v>
      </c>
      <c r="N282" s="35">
        <v>0</v>
      </c>
      <c r="O282" s="23">
        <f>(N282/I282)*100</f>
        <v>0</v>
      </c>
      <c r="P282" s="35">
        <v>1</v>
      </c>
    </row>
    <row r="283" spans="1:16" ht="19.5" x14ac:dyDescent="0.25">
      <c r="A283" s="9">
        <v>282</v>
      </c>
      <c r="B283" s="9">
        <v>250</v>
      </c>
      <c r="C283" s="13" t="s">
        <v>119</v>
      </c>
      <c r="D283" s="14">
        <v>9664318960</v>
      </c>
      <c r="E283" s="11" t="s">
        <v>223</v>
      </c>
      <c r="F283" s="10">
        <v>18</v>
      </c>
      <c r="G283" s="10" t="s">
        <v>275</v>
      </c>
      <c r="H283" s="9">
        <v>9784421590</v>
      </c>
      <c r="I283" s="28">
        <v>1308</v>
      </c>
      <c r="J283" s="30">
        <f>I283/15</f>
        <v>87.2</v>
      </c>
      <c r="K283" s="34">
        <f>(J283*4)-L283</f>
        <v>37.800000000000011</v>
      </c>
      <c r="L283" s="35">
        <v>311</v>
      </c>
      <c r="M283" s="23">
        <f>(L283/I283)*100</f>
        <v>23.776758409785934</v>
      </c>
      <c r="N283" s="35">
        <v>0</v>
      </c>
      <c r="O283" s="23">
        <f>(N283/I283)*100</f>
        <v>0</v>
      </c>
      <c r="P283" s="35">
        <v>1</v>
      </c>
    </row>
    <row r="284" spans="1:16" ht="19.5" x14ac:dyDescent="0.25">
      <c r="A284" s="9">
        <v>283</v>
      </c>
      <c r="B284" s="9">
        <v>270</v>
      </c>
      <c r="C284" s="13" t="s">
        <v>245</v>
      </c>
      <c r="D284" s="14">
        <v>9929298049</v>
      </c>
      <c r="E284" s="11" t="s">
        <v>223</v>
      </c>
      <c r="F284" s="10">
        <v>19</v>
      </c>
      <c r="G284" s="10" t="s">
        <v>224</v>
      </c>
      <c r="H284" s="9">
        <v>9571569710</v>
      </c>
      <c r="I284" s="28">
        <v>1234</v>
      </c>
      <c r="J284" s="30">
        <f>I284/15</f>
        <v>82.266666666666666</v>
      </c>
      <c r="K284" s="34">
        <f>(J284*4)-L284</f>
        <v>26.066666666666663</v>
      </c>
      <c r="L284" s="35">
        <v>303</v>
      </c>
      <c r="M284" s="23">
        <f>(L284/I284)*100</f>
        <v>24.554294975688819</v>
      </c>
      <c r="N284" s="35">
        <v>0</v>
      </c>
      <c r="O284" s="23">
        <f>(N284/I284)*100</f>
        <v>0</v>
      </c>
      <c r="P284" s="35">
        <v>1</v>
      </c>
    </row>
    <row r="285" spans="1:16" ht="19.5" x14ac:dyDescent="0.25">
      <c r="A285" s="9">
        <v>284</v>
      </c>
      <c r="B285" s="9">
        <v>248</v>
      </c>
      <c r="C285" s="13" t="s">
        <v>274</v>
      </c>
      <c r="D285" s="15">
        <v>8107477892</v>
      </c>
      <c r="E285" s="11" t="s">
        <v>223</v>
      </c>
      <c r="F285" s="10">
        <v>18</v>
      </c>
      <c r="G285" s="10" t="s">
        <v>275</v>
      </c>
      <c r="H285" s="9">
        <v>9784421590</v>
      </c>
      <c r="I285" s="28">
        <v>1327</v>
      </c>
      <c r="J285" s="30">
        <f>I285/15</f>
        <v>88.466666666666669</v>
      </c>
      <c r="K285" s="34">
        <f>(J285*4)-L285</f>
        <v>25.866666666666674</v>
      </c>
      <c r="L285" s="35">
        <v>328</v>
      </c>
      <c r="M285" s="23">
        <f>(L285/I285)*100</f>
        <v>24.717407686510928</v>
      </c>
      <c r="N285" s="35">
        <v>0</v>
      </c>
      <c r="O285" s="23">
        <f>(N285/I285)*100</f>
        <v>0</v>
      </c>
      <c r="P285" s="35">
        <v>1</v>
      </c>
    </row>
    <row r="286" spans="1:16" ht="19.5" x14ac:dyDescent="0.25">
      <c r="A286" s="9">
        <v>285</v>
      </c>
      <c r="B286" s="9">
        <v>265</v>
      </c>
      <c r="C286" s="13" t="s">
        <v>290</v>
      </c>
      <c r="D286" s="15">
        <v>9001289097</v>
      </c>
      <c r="E286" s="11" t="s">
        <v>223</v>
      </c>
      <c r="F286" s="10">
        <v>18</v>
      </c>
      <c r="G286" s="10" t="s">
        <v>275</v>
      </c>
      <c r="H286" s="9">
        <v>9784421590</v>
      </c>
      <c r="I286" s="28">
        <v>1323</v>
      </c>
      <c r="J286" s="30">
        <f>I286/15</f>
        <v>88.2</v>
      </c>
      <c r="K286" s="34">
        <f>(J286*4)-L286</f>
        <v>24.800000000000011</v>
      </c>
      <c r="L286" s="35">
        <v>328</v>
      </c>
      <c r="M286" s="23">
        <f>(L286/I286)*100</f>
        <v>24.792139077853363</v>
      </c>
      <c r="N286" s="35">
        <v>0</v>
      </c>
      <c r="O286" s="23">
        <f>(N286/I286)*100</f>
        <v>0</v>
      </c>
      <c r="P286" s="35">
        <v>1</v>
      </c>
    </row>
    <row r="287" spans="1:16" ht="19.5" x14ac:dyDescent="0.25">
      <c r="A287" s="9">
        <v>286</v>
      </c>
      <c r="B287" s="9">
        <v>267</v>
      </c>
      <c r="C287" s="13" t="s">
        <v>292</v>
      </c>
      <c r="D287" s="15">
        <v>9929162635</v>
      </c>
      <c r="E287" s="11" t="s">
        <v>223</v>
      </c>
      <c r="F287" s="10">
        <v>19</v>
      </c>
      <c r="G287" s="10" t="s">
        <v>224</v>
      </c>
      <c r="H287" s="9">
        <v>9571569710</v>
      </c>
      <c r="I287" s="28">
        <v>833</v>
      </c>
      <c r="J287" s="30">
        <f>I287/15</f>
        <v>55.533333333333331</v>
      </c>
      <c r="K287" s="34">
        <f>(J287*4)-L287</f>
        <v>6.1333333333333258</v>
      </c>
      <c r="L287" s="35">
        <v>216</v>
      </c>
      <c r="M287" s="23">
        <f>(L287/I287)*100</f>
        <v>25.930372148859544</v>
      </c>
      <c r="N287" s="35">
        <v>0</v>
      </c>
      <c r="O287" s="23">
        <f>(N287/I287)*100</f>
        <v>0</v>
      </c>
      <c r="P287" s="35">
        <v>1</v>
      </c>
    </row>
    <row r="288" spans="1:16" ht="19.5" x14ac:dyDescent="0.25">
      <c r="A288" s="9">
        <v>287</v>
      </c>
      <c r="B288" s="9">
        <v>271</v>
      </c>
      <c r="C288" s="13" t="s">
        <v>119</v>
      </c>
      <c r="D288" s="15">
        <v>9784296216</v>
      </c>
      <c r="E288" s="11" t="s">
        <v>223</v>
      </c>
      <c r="F288" s="10">
        <v>19</v>
      </c>
      <c r="G288" s="10" t="s">
        <v>224</v>
      </c>
      <c r="H288" s="9">
        <v>9571569710</v>
      </c>
      <c r="I288" s="28">
        <v>1078</v>
      </c>
      <c r="J288" s="30">
        <f>I288/15</f>
        <v>71.86666666666666</v>
      </c>
      <c r="K288" s="34">
        <f>(J288*4)-L288</f>
        <v>-6.5333333333333599</v>
      </c>
      <c r="L288" s="35">
        <v>294</v>
      </c>
      <c r="M288" s="23">
        <f>(L288/I288)*100</f>
        <v>27.27272727272727</v>
      </c>
      <c r="N288" s="35">
        <v>0</v>
      </c>
      <c r="O288" s="23">
        <f>(N288/I288)*100</f>
        <v>0</v>
      </c>
      <c r="P288" s="35">
        <v>1</v>
      </c>
    </row>
    <row r="289" spans="1:16" ht="19.5" x14ac:dyDescent="0.25">
      <c r="A289" s="9">
        <v>288</v>
      </c>
      <c r="B289" s="9">
        <v>277</v>
      </c>
      <c r="C289" s="13" t="s">
        <v>299</v>
      </c>
      <c r="D289" s="14">
        <v>9829966264</v>
      </c>
      <c r="E289" s="11" t="s">
        <v>223</v>
      </c>
      <c r="F289" s="10">
        <v>18</v>
      </c>
      <c r="G289" s="10" t="s">
        <v>275</v>
      </c>
      <c r="H289" s="9">
        <v>9784421590</v>
      </c>
      <c r="I289" s="28">
        <v>1386</v>
      </c>
      <c r="J289" s="30">
        <f>I289/15</f>
        <v>92.4</v>
      </c>
      <c r="K289" s="34">
        <f>(J289*4)-L289</f>
        <v>-8.3999999999999773</v>
      </c>
      <c r="L289" s="35">
        <v>378</v>
      </c>
      <c r="M289" s="23">
        <f>(L289/I289)*100</f>
        <v>27.27272727272727</v>
      </c>
      <c r="N289" s="35">
        <v>0</v>
      </c>
      <c r="O289" s="23">
        <f>(N289/I289)*100</f>
        <v>0</v>
      </c>
      <c r="P289" s="35">
        <v>1</v>
      </c>
    </row>
    <row r="290" spans="1:16" ht="19.5" x14ac:dyDescent="0.25">
      <c r="A290" s="9">
        <v>289</v>
      </c>
      <c r="B290" s="9">
        <v>204</v>
      </c>
      <c r="C290" s="13" t="s">
        <v>226</v>
      </c>
      <c r="D290" s="14">
        <v>8769681815</v>
      </c>
      <c r="E290" s="11" t="s">
        <v>223</v>
      </c>
      <c r="F290" s="10">
        <v>19</v>
      </c>
      <c r="G290" s="10" t="s">
        <v>224</v>
      </c>
      <c r="H290" s="9">
        <v>9571569710</v>
      </c>
      <c r="I290" s="28">
        <v>1368</v>
      </c>
      <c r="J290" s="30">
        <f>I290/15</f>
        <v>91.2</v>
      </c>
      <c r="K290" s="34">
        <f>(J290*4)-L290</f>
        <v>-12.199999999999989</v>
      </c>
      <c r="L290" s="35">
        <v>377</v>
      </c>
      <c r="M290" s="23">
        <f>(L290/I290)*100</f>
        <v>27.558479532163744</v>
      </c>
      <c r="N290" s="35">
        <v>0</v>
      </c>
      <c r="O290" s="23">
        <f>(N290/I290)*100</f>
        <v>0</v>
      </c>
      <c r="P290" s="35">
        <v>1</v>
      </c>
    </row>
    <row r="291" spans="1:16" ht="19.5" x14ac:dyDescent="0.25">
      <c r="A291" s="9">
        <v>290</v>
      </c>
      <c r="B291" s="9">
        <v>202</v>
      </c>
      <c r="C291" s="13" t="s">
        <v>44</v>
      </c>
      <c r="D291" s="14">
        <v>9001707791</v>
      </c>
      <c r="E291" s="11" t="s">
        <v>223</v>
      </c>
      <c r="F291" s="10">
        <v>19</v>
      </c>
      <c r="G291" s="10" t="s">
        <v>224</v>
      </c>
      <c r="H291" s="9">
        <v>9571569710</v>
      </c>
      <c r="I291" s="28">
        <v>1218</v>
      </c>
      <c r="J291" s="30">
        <f>I291/15</f>
        <v>81.2</v>
      </c>
      <c r="K291" s="34">
        <f>(J291*4)-L291</f>
        <v>-56.199999999999989</v>
      </c>
      <c r="L291" s="35">
        <v>381</v>
      </c>
      <c r="M291" s="23">
        <f>(L291/I291)*100</f>
        <v>31.2807881773399</v>
      </c>
      <c r="N291" s="35">
        <v>0</v>
      </c>
      <c r="O291" s="23">
        <f>(N291/I291)*100</f>
        <v>0</v>
      </c>
      <c r="P291" s="35">
        <v>1</v>
      </c>
    </row>
    <row r="292" spans="1:16" ht="19.5" x14ac:dyDescent="0.25">
      <c r="A292" s="9">
        <v>291</v>
      </c>
      <c r="B292" s="9">
        <v>276</v>
      </c>
      <c r="C292" s="13" t="s">
        <v>298</v>
      </c>
      <c r="D292" s="15">
        <v>9636858857</v>
      </c>
      <c r="E292" s="11" t="s">
        <v>223</v>
      </c>
      <c r="F292" s="10">
        <v>18</v>
      </c>
      <c r="G292" s="10" t="s">
        <v>275</v>
      </c>
      <c r="H292" s="9">
        <v>9784421590</v>
      </c>
      <c r="I292" s="28">
        <v>958</v>
      </c>
      <c r="J292" s="30">
        <f>I292/15</f>
        <v>63.866666666666667</v>
      </c>
      <c r="K292" s="34">
        <f>(J292*4)-L292</f>
        <v>-46.533333333333331</v>
      </c>
      <c r="L292" s="35">
        <v>302</v>
      </c>
      <c r="M292" s="23">
        <f>(L292/I292)*100</f>
        <v>31.524008350730686</v>
      </c>
      <c r="N292" s="35">
        <v>0</v>
      </c>
      <c r="O292" s="23">
        <f>(N292/I292)*100</f>
        <v>0</v>
      </c>
      <c r="P292" s="35">
        <v>1</v>
      </c>
    </row>
    <row r="293" spans="1:16" ht="19.5" x14ac:dyDescent="0.25">
      <c r="A293" s="9">
        <v>292</v>
      </c>
      <c r="B293" s="9">
        <v>269</v>
      </c>
      <c r="C293" s="18" t="s">
        <v>293</v>
      </c>
      <c r="D293" s="15">
        <v>7976957739</v>
      </c>
      <c r="E293" s="11" t="s">
        <v>223</v>
      </c>
      <c r="F293" s="10">
        <v>19</v>
      </c>
      <c r="G293" s="10" t="s">
        <v>224</v>
      </c>
      <c r="H293" s="9">
        <v>9571569710</v>
      </c>
      <c r="I293" s="28">
        <v>913</v>
      </c>
      <c r="J293" s="30">
        <f>I293/15</f>
        <v>60.866666666666667</v>
      </c>
      <c r="K293" s="34">
        <f>(J293*4)-L293</f>
        <v>-63.533333333333331</v>
      </c>
      <c r="L293" s="35">
        <v>307</v>
      </c>
      <c r="M293" s="23">
        <f>(L293/I293)*100</f>
        <v>33.625410733844468</v>
      </c>
      <c r="N293" s="35">
        <v>0</v>
      </c>
      <c r="O293" s="23">
        <f>(N293/I293)*100</f>
        <v>0</v>
      </c>
      <c r="P293" s="35">
        <v>0</v>
      </c>
    </row>
    <row r="294" spans="1:16" ht="19.5" x14ac:dyDescent="0.25">
      <c r="A294" s="9">
        <v>293</v>
      </c>
      <c r="B294" s="9">
        <v>203</v>
      </c>
      <c r="C294" s="13" t="s">
        <v>225</v>
      </c>
      <c r="D294" s="14">
        <v>8290088161</v>
      </c>
      <c r="E294" s="11" t="s">
        <v>223</v>
      </c>
      <c r="F294" s="10">
        <v>19</v>
      </c>
      <c r="G294" s="10" t="s">
        <v>224</v>
      </c>
      <c r="H294" s="9">
        <v>9571569710</v>
      </c>
      <c r="I294" s="28">
        <v>1302</v>
      </c>
      <c r="J294" s="30">
        <f>I294/15</f>
        <v>86.8</v>
      </c>
      <c r="K294" s="34">
        <f>(J294*4)-L294</f>
        <v>-104.80000000000001</v>
      </c>
      <c r="L294" s="35">
        <v>452</v>
      </c>
      <c r="M294" s="23">
        <f>(L294/I294)*100</f>
        <v>34.715821812596005</v>
      </c>
      <c r="N294" s="35">
        <v>2</v>
      </c>
      <c r="O294" s="23">
        <f>(N294/I294)*100</f>
        <v>0.15360983102918588</v>
      </c>
      <c r="P294" s="35">
        <v>1</v>
      </c>
    </row>
    <row r="295" spans="1:16" ht="19.5" x14ac:dyDescent="0.25">
      <c r="A295" s="9">
        <v>294</v>
      </c>
      <c r="B295" s="9">
        <v>272</v>
      </c>
      <c r="C295" s="13" t="s">
        <v>119</v>
      </c>
      <c r="D295" s="14">
        <v>9929494205</v>
      </c>
      <c r="E295" s="11" t="s">
        <v>223</v>
      </c>
      <c r="F295" s="10">
        <v>19</v>
      </c>
      <c r="G295" s="10" t="s">
        <v>224</v>
      </c>
      <c r="H295" s="9">
        <v>9571569710</v>
      </c>
      <c r="I295" s="28">
        <v>959</v>
      </c>
      <c r="J295" s="30">
        <f>I295/15</f>
        <v>63.93333333333333</v>
      </c>
      <c r="K295" s="34">
        <f>(J295*4)-L295</f>
        <v>-94.26666666666668</v>
      </c>
      <c r="L295" s="35">
        <v>350</v>
      </c>
      <c r="M295" s="23">
        <f>(L295/I295)*100</f>
        <v>36.496350364963504</v>
      </c>
      <c r="N295" s="35">
        <v>0</v>
      </c>
      <c r="O295" s="23">
        <f>(N295/I295)*100</f>
        <v>0</v>
      </c>
      <c r="P295" s="35">
        <v>1</v>
      </c>
    </row>
    <row r="296" spans="1:16" ht="19.5" x14ac:dyDescent="0.25">
      <c r="A296" s="9">
        <v>295</v>
      </c>
      <c r="B296" s="9">
        <v>268</v>
      </c>
      <c r="C296" s="13" t="s">
        <v>119</v>
      </c>
      <c r="D296" s="15">
        <v>8503957940</v>
      </c>
      <c r="E296" s="11" t="s">
        <v>223</v>
      </c>
      <c r="F296" s="10">
        <v>19</v>
      </c>
      <c r="G296" s="10" t="s">
        <v>224</v>
      </c>
      <c r="H296" s="9">
        <v>9571569710</v>
      </c>
      <c r="I296" s="28">
        <v>1078</v>
      </c>
      <c r="J296" s="30">
        <f>I296/15</f>
        <v>71.86666666666666</v>
      </c>
      <c r="K296" s="34">
        <f>(J296*4)-L296</f>
        <v>-115.53333333333336</v>
      </c>
      <c r="L296" s="35">
        <v>403</v>
      </c>
      <c r="M296" s="23">
        <f>(L296/I296)*100</f>
        <v>37.384044526901675</v>
      </c>
      <c r="N296" s="35">
        <v>0</v>
      </c>
      <c r="O296" s="23">
        <f>(N296/I296)*100</f>
        <v>0</v>
      </c>
      <c r="P296" s="35">
        <v>0</v>
      </c>
    </row>
    <row r="297" spans="1:16" ht="19.5" x14ac:dyDescent="0.25">
      <c r="A297" s="9">
        <v>296</v>
      </c>
      <c r="B297" s="9">
        <v>266</v>
      </c>
      <c r="C297" s="16" t="s">
        <v>291</v>
      </c>
      <c r="D297" s="14">
        <v>9983001133</v>
      </c>
      <c r="E297" s="11" t="s">
        <v>223</v>
      </c>
      <c r="F297" s="10">
        <v>19</v>
      </c>
      <c r="G297" s="10" t="s">
        <v>224</v>
      </c>
      <c r="H297" s="9">
        <v>9571569710</v>
      </c>
      <c r="I297" s="28">
        <v>725</v>
      </c>
      <c r="J297" s="30">
        <f>I297/15</f>
        <v>48.333333333333336</v>
      </c>
      <c r="K297" s="34">
        <f>(J297*4)-L297</f>
        <v>-95.666666666666657</v>
      </c>
      <c r="L297" s="35">
        <v>289</v>
      </c>
      <c r="M297" s="23">
        <f>(L297/I297)*100</f>
        <v>39.862068965517238</v>
      </c>
      <c r="N297" s="35">
        <v>0</v>
      </c>
      <c r="O297" s="23">
        <f>(N297/I297)*100</f>
        <v>0</v>
      </c>
      <c r="P297" s="35">
        <v>0</v>
      </c>
    </row>
    <row r="298" spans="1:16" ht="19.5" x14ac:dyDescent="0.3">
      <c r="A298" s="9"/>
      <c r="B298" s="21"/>
      <c r="C298" s="21"/>
      <c r="D298" s="21"/>
      <c r="E298" s="21"/>
      <c r="F298" s="21"/>
      <c r="G298" s="21"/>
      <c r="H298" s="21"/>
      <c r="I298" s="22">
        <f>SUM(I2:I297)</f>
        <v>300064</v>
      </c>
      <c r="J298" s="22"/>
      <c r="K298" s="32"/>
      <c r="L298" s="22">
        <f>SUM(L2:L297)</f>
        <v>75461</v>
      </c>
      <c r="M298" s="23">
        <f>AVERAGE(M2:M297)</f>
        <v>26.13112499013463</v>
      </c>
      <c r="N298" s="22">
        <f>SUM(N2:N297)</f>
        <v>15</v>
      </c>
      <c r="O298" s="23">
        <f>AVERAGE(O2:O297)</f>
        <v>4.1859867867145954E-3</v>
      </c>
      <c r="P298" s="24">
        <f>COUNTIFS(P2:P297,"0")</f>
        <v>44</v>
      </c>
    </row>
    <row r="299" spans="1:16" ht="39" x14ac:dyDescent="0.3">
      <c r="A299" s="9"/>
      <c r="B299" s="21"/>
      <c r="C299" s="21"/>
      <c r="D299" s="21"/>
      <c r="E299" s="21"/>
      <c r="F299" s="21"/>
      <c r="G299" s="21"/>
      <c r="H299" s="21"/>
      <c r="I299" s="36"/>
      <c r="J299" s="37"/>
      <c r="K299" s="37"/>
      <c r="L299" s="38"/>
      <c r="M299" s="25" t="s">
        <v>334</v>
      </c>
      <c r="N299" s="26"/>
      <c r="O299" s="25" t="s">
        <v>334</v>
      </c>
      <c r="P299" s="27" t="s">
        <v>336</v>
      </c>
    </row>
  </sheetData>
  <autoFilter ref="A1:O1">
    <sortState ref="A2:O299">
      <sortCondition ref="B1"/>
    </sortState>
  </autoFilter>
  <sortState ref="A2:P297">
    <sortCondition ref="E2:E297"/>
    <sortCondition ref="M2:M297"/>
  </sortState>
  <mergeCells count="1">
    <mergeCell ref="I299:L299"/>
  </mergeCells>
  <conditionalFormatting sqref="E1">
    <cfRule type="duplicateValues" dxfId="1" priority="1"/>
  </conditionalFormatting>
  <conditionalFormatting sqref="B307:E1048576 E298 B1:B298 C298 D297:D298">
    <cfRule type="duplicateValues" dxfId="0" priority="4"/>
  </conditionalFormatting>
  <pageMargins left="0.43307086614173229" right="0.15748031496062992" top="0.35433070866141736" bottom="0.31496062992125984" header="0.23622047244094491" footer="0.15748031496062992"/>
  <pageSetup paperSize="9" scale="46" orientation="landscape" r:id="rId1"/>
  <headerFooter>
    <oddFooter>&amp;LERO--SALUMBER-&amp;P&amp;R&amp;N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Timeline Sheet</vt:lpstr>
      <vt:lpstr>'Timeline Sheet'!Print_Area</vt:lpstr>
      <vt:lpstr>'Timeline Sheet'!Print_Titles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2025-11-08T10:39:56Z</cp:lastPrinted>
  <dcterms:created xsi:type="dcterms:W3CDTF">2025-11-04T06:45:07Z</dcterms:created>
  <dcterms:modified xsi:type="dcterms:W3CDTF">2025-11-08T14:38:56Z</dcterms:modified>
</cp:coreProperties>
</file>